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1_Data" sheetId="2" state="visible" r:id="rId2"/>
    <sheet name="2_Token" sheetId="3" state="visible" r:id="rId3"/>
    <sheet name="3_TF" sheetId="4" state="visible" r:id="rId4"/>
    <sheet name="4_IDF" sheetId="5" state="visible" r:id="rId5"/>
    <sheet name="5_TFIDF" sheetId="6" state="visible" r:id="rId6"/>
    <sheet name="6_Cosine" sheetId="7" state="visible" r:id="rId7"/>
    <sheet name="7_CBF" sheetId="8" state="visible" r:id="rId8"/>
    <sheet name="8_ALS" sheetId="9" state="visible" r:id="rId9"/>
    <sheet name="9_Hybrid" sheetId="10" state="visible" r:id="rId10"/>
    <sheet name="10_Tampilan" sheetId="11" state="visible" r:id="rId11"/>
    <sheet name="11_Evaluasi" sheetId="12" state="visible" r:id="rId12"/>
    <sheet name="12_Cek_Naskah" sheetId="13" state="visible" r:id="rId13"/>
  </sheets>
  <definedNames/>
  <calcPr calcId="124519" fullCalcOnLoad="1"/>
</workbook>
</file>

<file path=xl/styles.xml><?xml version="1.0" encoding="utf-8"?>
<styleSheet xmlns="http://schemas.openxmlformats.org/spreadsheetml/2006/main">
  <numFmts count="4">
    <numFmt numFmtId="164" formatCode="yyyy-mm-dd"/>
    <numFmt numFmtId="165" formatCode="dd mmm yyyy"/>
    <numFmt numFmtId="166" formatCode="0.000000"/>
    <numFmt numFmtId="167" formatCode="0.00000000"/>
  </numFmts>
  <fonts count="8">
    <font>
      <name val="Calibri"/>
      <family val="2"/>
      <color theme="1"/>
      <sz val="11"/>
      <scheme val="minor"/>
    </font>
    <font>
      <name val="Arial"/>
      <b val="1"/>
      <sz val="14"/>
    </font>
    <font>
      <name val="Arial"/>
      <i val="1"/>
      <color rgb="00555555"/>
      <sz val="10"/>
    </font>
    <font>
      <name val="Arial"/>
      <b val="1"/>
      <color rgb="00FFFFFF"/>
      <sz val="11"/>
    </font>
    <font>
      <name val="Arial"/>
      <b val="1"/>
      <sz val="11"/>
    </font>
    <font>
      <name val="Arial"/>
      <color rgb="00000000"/>
      <sz val="11"/>
    </font>
    <font>
      <name val="Arial"/>
      <color rgb="000000FF"/>
      <sz val="11"/>
    </font>
    <font>
      <name val="Arial"/>
      <b val="1"/>
      <sz val="12"/>
    </font>
  </fonts>
  <fills count="4">
    <fill>
      <patternFill/>
    </fill>
    <fill>
      <patternFill patternType="gray125"/>
    </fill>
    <fill>
      <patternFill patternType="solid">
        <fgColor rgb="001F4E78"/>
      </patternFill>
    </fill>
    <fill>
      <patternFill patternType="solid">
        <fgColor rgb="00FFFF00"/>
      </patternFill>
    </fill>
  </fills>
  <borders count="3">
    <border>
      <left/>
      <right/>
      <top/>
      <bottom/>
      <diagonal/>
    </border>
    <border/>
    <border>
      <left style="thin">
        <color rgb="00B0B0B0"/>
      </left>
      <right style="thin">
        <color rgb="00B0B0B0"/>
      </right>
      <top style="thin">
        <color rgb="00B0B0B0"/>
      </top>
      <bottom style="thin">
        <color rgb="00B0B0B0"/>
      </bottom>
    </border>
  </borders>
  <cellStyleXfs count="1">
    <xf numFmtId="0" fontId="0" fillId="0" borderId="0"/>
  </cellStyleXfs>
  <cellXfs count="17">
    <xf numFmtId="0" fontId="0" fillId="0" borderId="0" pivotButton="0" quotePrefix="0" xfId="0"/>
    <xf numFmtId="0" fontId="1" fillId="0" borderId="1" pivotButton="0" quotePrefix="0" xfId="0"/>
    <xf numFmtId="0" fontId="2" fillId="0" borderId="1" pivotButton="0" quotePrefix="0" xfId="0"/>
    <xf numFmtId="0" fontId="3" fillId="2" borderId="2" applyAlignment="1" pivotButton="0" quotePrefix="0" xfId="0">
      <alignment horizontal="center" vertical="center" wrapText="1"/>
    </xf>
    <xf numFmtId="0" fontId="4" fillId="0" borderId="2" pivotButton="0" quotePrefix="0" xfId="0"/>
    <xf numFmtId="0" fontId="5" fillId="0" borderId="2" pivotButton="0" quotePrefix="0" xfId="0"/>
    <xf numFmtId="0" fontId="6" fillId="0" borderId="2" pivotButton="0" quotePrefix="0" xfId="0"/>
    <xf numFmtId="165" fontId="6" fillId="0" borderId="2" pivotButton="0" quotePrefix="0" xfId="0"/>
    <xf numFmtId="166" fontId="6" fillId="3" borderId="2" pivotButton="0" quotePrefix="0" xfId="0"/>
    <xf numFmtId="166" fontId="5" fillId="0" borderId="2" pivotButton="0" quotePrefix="0" xfId="0"/>
    <xf numFmtId="0" fontId="4" fillId="0" borderId="0" pivotButton="0" quotePrefix="0" xfId="0"/>
    <xf numFmtId="166" fontId="6" fillId="0" borderId="2" pivotButton="0" quotePrefix="0" xfId="0"/>
    <xf numFmtId="1" fontId="5" fillId="0" borderId="2" pivotButton="0" quotePrefix="0" xfId="0"/>
    <xf numFmtId="0" fontId="7" fillId="0" borderId="0" pivotButton="0" quotePrefix="0" xfId="0"/>
    <xf numFmtId="167" fontId="6" fillId="0" borderId="2" pivotButton="0" quotePrefix="0" xfId="0"/>
    <xf numFmtId="167" fontId="5" fillId="0" borderId="2"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6" customWidth="1" min="1" max="1"/>
    <col width="64" customWidth="1" min="2" max="2"/>
    <col width="52" customWidth="1" min="3" max="3"/>
  </cols>
  <sheetData>
    <row r="1">
      <c r="A1" s="1" t="inlineStr">
        <is>
          <t>Perhitungan Manual Sistem Rekomendasi Hybrid CBF + ALS - goodnews</t>
        </is>
      </c>
    </row>
    <row r="2">
      <c r="A2" s="2" t="inlineStr">
        <is>
          <t>Sel hitam = rumus Excel. Sel biru = data dari proyek. Sel kuning = parameter yang boleh diubah. Rumus identik dengan src/phase2/serving.py: skor = alpha x minmax(ALS) + (1 - alpha) x minmax(TF-IDF cosine), alpha = 0,8.</t>
        </is>
      </c>
    </row>
    <row r="4" ht="30" customHeight="1">
      <c r="A4" s="3" t="inlineStr">
        <is>
          <t>Sheet</t>
        </is>
      </c>
      <c r="B4" s="3" t="inlineStr">
        <is>
          <t>Isi</t>
        </is>
      </c>
      <c r="C4" s="3" t="inlineStr">
        <is>
          <t>Sumber angka</t>
        </is>
      </c>
    </row>
    <row r="5">
      <c r="A5" s="4" t="inlineStr">
        <is>
          <t>1_Data</t>
        </is>
      </c>
      <c r="B5" s="5" t="inlineStr">
        <is>
          <t>12 artikel sampel + parameter (alpha, top_k, sesi, K)</t>
        </is>
      </c>
      <c r="C5" s="5" t="inlineStr">
        <is>
          <t>data/processed/indo/catalog.parquet - nid nyata</t>
        </is>
      </c>
    </row>
    <row r="6">
      <c r="A6" s="4" t="inlineStr">
        <is>
          <t>2_Token</t>
        </is>
      </c>
      <c r="B6" s="5" t="inlineStr">
        <is>
          <t>Token tiap artikel, satu token per kolom</t>
        </is>
      </c>
      <c r="C6" s="5" t="inlineStr">
        <is>
          <t>kolom processed_text katalog fase 2</t>
        </is>
      </c>
    </row>
    <row r="7">
      <c r="A7" s="4" t="inlineStr">
        <is>
          <t>3_TF</t>
        </is>
      </c>
      <c r="B7" s="5" t="inlineStr">
        <is>
          <t>Term Frequency: kemunculan tiap term per artikel (COUNTIF)</t>
        </is>
      </c>
      <c r="C7" s="5" t="inlineStr">
        <is>
          <t>rumus</t>
        </is>
      </c>
    </row>
    <row r="8">
      <c r="A8" s="4" t="inlineStr">
        <is>
          <t>4_IDF</t>
        </is>
      </c>
      <c r="B8" s="5" t="inlineStr">
        <is>
          <t>df dan IDF = LN((1+N)/(1+df)) + 1 (smooth_idf scikit-learn)</t>
        </is>
      </c>
      <c r="C8" s="5" t="inlineStr">
        <is>
          <t>rumus</t>
        </is>
      </c>
    </row>
    <row r="9">
      <c r="A9" s="4" t="inlineStr">
        <is>
          <t>5_TFIDF</t>
        </is>
      </c>
      <c r="B9" s="5" t="inlineStr">
        <is>
          <t>w = TF x IDF, norma L2, bobot ternormalisasi, vektor profil sesi</t>
        </is>
      </c>
      <c r="C9" s="5" t="inlineStr">
        <is>
          <t>rumus</t>
        </is>
      </c>
    </row>
    <row r="10">
      <c r="A10" s="4" t="inlineStr">
        <is>
          <t>6_Cosine</t>
        </is>
      </c>
      <c r="B10" s="5" t="inlineStr">
        <is>
          <t>Kosinus item ke profil + matriks 12x12 (dipakai blok 'Berita serupa')</t>
        </is>
      </c>
      <c r="C10" s="5" t="inlineStr">
        <is>
          <t>rumus</t>
        </is>
      </c>
    </row>
    <row r="11">
      <c r="A11" s="4" t="inlineStr">
        <is>
          <t>7_CBF</t>
        </is>
      </c>
      <c r="B11" s="5" t="inlineStr">
        <is>
          <t>Peringkat content-based; artikel profil dibuang</t>
        </is>
      </c>
      <c r="C11" s="5" t="inlineStr">
        <is>
          <t>rumus</t>
        </is>
      </c>
    </row>
    <row r="12">
      <c r="A12" s="4" t="inlineStr">
        <is>
          <t>8_ALS</t>
        </is>
      </c>
      <c r="B12" s="5" t="inlineStr">
        <is>
          <t>128 faktor laten per artikel, profil sesi = rata-rata faktor, skor = SUMPRODUCT</t>
        </is>
      </c>
      <c r="C12" s="5" t="inlineStr">
        <is>
          <t>data/processed/indo/indo_als_item_factors.npy</t>
        </is>
      </c>
    </row>
    <row r="13">
      <c r="A13" s="4" t="inlineStr">
        <is>
          <t>9_Hybrid</t>
        </is>
      </c>
      <c r="B13" s="5" t="inlineStr">
        <is>
          <t>min-max ALS dan CBF, blend alpha = 0,8, mask artikel profil, peringkat</t>
        </is>
      </c>
      <c r="C13" s="5" t="inlineStr">
        <is>
          <t>rumus</t>
        </is>
      </c>
    </row>
    <row r="14">
      <c r="A14" s="4" t="inlineStr">
        <is>
          <t>10_Tampilan</t>
        </is>
      </c>
      <c r="B14" s="5" t="inlineStr">
        <is>
          <t>Baris kartu yang dirender web - tanpa skor (D22)</t>
        </is>
      </c>
      <c r="C14" s="5" t="inlineStr">
        <is>
          <t>rumus</t>
        </is>
      </c>
    </row>
    <row r="15">
      <c r="A15" s="4" t="inlineStr">
        <is>
          <t>11_Evaluasi</t>
        </is>
      </c>
      <c r="B15" s="5" t="inlineStr">
        <is>
          <t>NDCG, AP, MAP, Precision, Recall, F1 pada K - K diturunkan ke 5 karena hanya ada 9 kandidat</t>
        </is>
      </c>
      <c r="C15" s="5" t="inlineStr">
        <is>
          <t>rumus + 2 flag relevan (biru)</t>
        </is>
      </c>
    </row>
    <row r="16">
      <c r="A16" s="4" t="inlineStr">
        <is>
          <t>12_Cek_Naskah</t>
        </is>
      </c>
      <c r="B16" s="5" t="inlineStr">
        <is>
          <t>Rata-rata 9 titik evaluasi terkunci untuk enam metrik (NDCG, AP, MAP, Precision, Recall, F1) vs angka naskah</t>
        </is>
      </c>
      <c r="C16" s="5" t="inlineStr">
        <is>
          <t>models/indo_eval.json</t>
        </is>
      </c>
    </row>
    <row r="18" ht="30" customHeight="1">
      <c r="A18" s="2" t="inlineStr">
        <is>
          <t>BATAS 1 - TF-IDF di sini di-fit pada 12 dokumen sampel agar semua sel bisa dihitung ulang dengan tangan. Produksi fit pada 67.381 dokumen train (sekitar 99 ribu term), jadi nilai kosinus di workbook identik METODENYA, tetapi tidak identik angkanya dengan yang dilayani web.</t>
        </is>
      </c>
    </row>
    <row r="19" ht="30" customHeight="1">
      <c r="A19" s="2" t="inlineStr">
        <is>
          <t>BATAS 2 - min-max pada sheet 9 dijalankan atas 12 kandidat; produksi menjalankannya atas seluruh katalog efektif (17.584 item) per akun.</t>
        </is>
      </c>
    </row>
    <row r="20" ht="30" customHeight="1">
      <c r="A20" s="2" t="inlineStr">
        <is>
          <t>BATAS 3 - 3 artikel profil dan 2 artikel relevan adalah skenario ilustrasi, bukan akun simulasi. Angka evaluasi resmi ada di sheet 12_Cek_Naskah: 600 akun, 9 titik, grid alpha 0,2-0,8.</t>
        </is>
      </c>
    </row>
    <row r="21" ht="30" customHeight="1">
      <c r="A21" s="2" t="inlineStr">
        <is>
          <t>URUTAN FAKTOR - baris faktor ALS mengikuti urutan nid terurut pada train (build_csr); di workbook dipakai posisi katalog.</t>
        </is>
      </c>
    </row>
  </sheetData>
  <mergeCells count="4">
    <mergeCell ref="A18:C18"/>
    <mergeCell ref="A20:C20"/>
    <mergeCell ref="A19:C19"/>
    <mergeCell ref="A21:C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5" customWidth="1" min="1" max="1"/>
    <col width="13" customWidth="1" min="2" max="2"/>
    <col width="44" customWidth="1" min="3" max="3"/>
    <col width="12" customWidth="1" min="4" max="4"/>
    <col width="10" customWidth="1" min="5" max="5"/>
    <col width="13" customWidth="1" min="6" max="6"/>
    <col width="86" customWidth="1" min="7" max="7"/>
    <col width="8" customWidth="1" min="8" max="8"/>
    <col width="9" customWidth="1" min="9" max="9"/>
    <col width="24" customWidth="1" min="11" max="11"/>
    <col width="16" customWidth="1" min="12" max="12"/>
    <col width="32" customWidth="1" min="13" max="13"/>
  </cols>
  <sheetData>
    <row r="1">
      <c r="A1" s="1" t="inlineStr">
        <is>
          <t>1 - Data artikel sampel dan parameter</t>
        </is>
      </c>
    </row>
    <row r="2">
      <c r="A2" s="2" t="inlineStr">
        <is>
          <t>Kolom Teks = processed_text persis di katalog; inilah input TF-IDF (sudah lowercase, tanpa tanda baca, tanpa stopword, tanpa stemming).</t>
        </is>
      </c>
    </row>
    <row r="4" ht="18" customHeight="1">
      <c r="A4" s="3" t="inlineStr">
        <is>
          <t>Pos</t>
        </is>
      </c>
      <c r="B4" s="3" t="inlineStr">
        <is>
          <t>nid</t>
        </is>
      </c>
      <c r="C4" s="3" t="inlineStr">
        <is>
          <t>Judul</t>
        </is>
      </c>
      <c r="D4" s="3" t="inlineStr">
        <is>
          <t>Kategori</t>
        </is>
      </c>
      <c r="E4" s="3" t="inlineStr">
        <is>
          <t>Sumber</t>
        </is>
      </c>
      <c r="F4" s="3" t="inlineStr">
        <is>
          <t>Terbit</t>
        </is>
      </c>
      <c r="G4" s="3" t="inlineStr">
        <is>
          <t>Teks (input TF-IDF)</t>
        </is>
      </c>
      <c r="H4" s="3" t="inlineStr">
        <is>
          <t>Sesi?</t>
        </is>
      </c>
      <c r="I4" s="3" t="inlineStr">
        <is>
          <t>Relevan?</t>
        </is>
      </c>
      <c r="K4" s="3" t="inlineStr">
        <is>
          <t>Parameter</t>
        </is>
      </c>
      <c r="L4" s="3" t="inlineStr">
        <is>
          <t>Nilai</t>
        </is>
      </c>
      <c r="M4" s="3" t="inlineStr">
        <is>
          <t>Keterangan</t>
        </is>
      </c>
    </row>
    <row r="5" ht="28" customHeight="1">
      <c r="A5" s="5" t="n">
        <v>1</v>
      </c>
      <c r="B5" s="6" t="inlineStr">
        <is>
          <t>I2d5df0726f</t>
        </is>
      </c>
      <c r="C5" s="6" t="inlineStr">
        <is>
          <t>Embung Pekayon</t>
        </is>
      </c>
      <c r="D5" s="6" t="inlineStr">
        <is>
          <t>Multimedia</t>
        </is>
      </c>
      <c r="E5" s="6" t="inlineStr">
        <is>
          <t>tempo</t>
        </is>
      </c>
      <c r="F5" s="7" t="n">
        <v>45940</v>
      </c>
      <c r="G5" s="6" t="inlineStr">
        <is>
          <t>embung pekayon pasar rebo jakarta timur oktober embung buka desember berfungsi kendali banjir sekaligus jadi sarana interaksi publik tempat rekreasi area olahraga pancing tempo fardi bestari</t>
        </is>
      </c>
      <c r="H5" s="5" t="inlineStr">
        <is>
          <t>Ya</t>
        </is>
      </c>
      <c r="I5" s="5" t="inlineStr">
        <is>
          <t>-</t>
        </is>
      </c>
      <c r="K5" s="4" t="inlineStr">
        <is>
          <t>alpha (bobot ALS)</t>
        </is>
      </c>
      <c r="L5" s="8" t="n">
        <v>0.8</v>
      </c>
      <c r="M5" s="5" t="inlineStr">
        <is>
          <t>cf_weight, configs/indo_serving.yaml</t>
        </is>
      </c>
    </row>
    <row r="6" ht="28" customHeight="1">
      <c r="A6" s="5" t="n">
        <v>2</v>
      </c>
      <c r="B6" s="6" t="inlineStr">
        <is>
          <t>I0f3340d602</t>
        </is>
      </c>
      <c r="C6" s="6" t="inlineStr">
        <is>
          <t>Israel dan Hamas Bertukar Sandera Hari Ini</t>
        </is>
      </c>
      <c r="D6" s="6" t="inlineStr">
        <is>
          <t>Multimedia</t>
        </is>
      </c>
      <c r="E6" s="6" t="inlineStr">
        <is>
          <t>tempo</t>
        </is>
      </c>
      <c r="F6" s="7" t="n">
        <v>45943</v>
      </c>
      <c r="G6" s="6" t="inlineStr">
        <is>
          <t>israel hamas tukar sandera tahan palestina hari senin oktober tukar sandera langkah penting gencat senjata dua belah pihak sekarang berlaku foto fotoeditor ryan maulana ryan maulana editor tempo co videographer</t>
        </is>
      </c>
      <c r="H6" s="5" t="inlineStr">
        <is>
          <t>Ya</t>
        </is>
      </c>
      <c r="I6" s="5" t="inlineStr">
        <is>
          <t>-</t>
        </is>
      </c>
      <c r="K6" s="4" t="inlineStr">
        <is>
          <t>bobot CBF (1 - alpha)</t>
        </is>
      </c>
      <c r="L6" s="5">
        <f>1-L5</f>
        <v/>
      </c>
      <c r="M6" s="5" t="inlineStr">
        <is>
          <t>1 - alpha</t>
        </is>
      </c>
    </row>
    <row r="7" ht="28" customHeight="1">
      <c r="A7" s="5" t="n">
        <v>3</v>
      </c>
      <c r="B7" s="6" t="inlineStr">
        <is>
          <t>Ic3f4f2512e</t>
        </is>
      </c>
      <c r="C7" s="6" t="inlineStr">
        <is>
          <t>80 Kabupaten Bersaing di SIPP Award 2025 untuk Pembangunan Berkelanjutan</t>
        </is>
      </c>
      <c r="D7" s="6" t="inlineStr">
        <is>
          <t>Multimedia</t>
        </is>
      </c>
      <c r="E7" s="6" t="inlineStr">
        <is>
          <t>tempo</t>
        </is>
      </c>
      <c r="F7" s="7" t="n">
        <v>45925</v>
      </c>
      <c r="G7" s="6" t="inlineStr">
        <is>
          <t>banyak kabupaten saing sipp award dorong bangun rendah karbon berkelanjutan salah satu terima harga kepala bappeda bangka tengah joko triadhi komitmen kembang komoditas ramah lingkung kelapa kopi cokelat zulfikar epriyadi editor muhammad iqbal videographer</t>
        </is>
      </c>
      <c r="H7" s="5" t="inlineStr">
        <is>
          <t>-</t>
        </is>
      </c>
      <c r="I7" s="5" t="inlineStr">
        <is>
          <t>-</t>
        </is>
      </c>
      <c r="K7" s="4" t="inlineStr">
        <is>
          <t>top_k</t>
        </is>
      </c>
      <c r="L7" s="5" t="n">
        <v>10</v>
      </c>
      <c r="M7" s="5" t="inlineStr">
        <is>
          <t>default serving</t>
        </is>
      </c>
    </row>
    <row r="8" ht="28" customHeight="1">
      <c r="A8" s="5" t="n">
        <v>4</v>
      </c>
      <c r="B8" s="6" t="inlineStr">
        <is>
          <t>Ifa9f81c923</t>
        </is>
      </c>
      <c r="C8" s="6" t="inlineStr">
        <is>
          <t>Kontroversi Erick Thohir Selama Jadi Menteri BUMN</t>
        </is>
      </c>
      <c r="D8" s="6" t="inlineStr">
        <is>
          <t>Multimedia</t>
        </is>
      </c>
      <c r="E8" s="6" t="inlineStr">
        <is>
          <t>tempo</t>
        </is>
      </c>
      <c r="F8" s="7" t="n">
        <v>45917</v>
      </c>
      <c r="G8" s="6" t="inlineStr">
        <is>
          <t>lama jabat menteri bumn erick thohir dera sejumlah isu kontroversi anyar sorot masuk menteri rangkap jabat kabinet perintah prabowo zulfikar epriyadi editor youtube videographer</t>
        </is>
      </c>
      <c r="H8" s="5" t="inlineStr">
        <is>
          <t>Ya</t>
        </is>
      </c>
      <c r="I8" s="5" t="inlineStr">
        <is>
          <t>-</t>
        </is>
      </c>
      <c r="K8" s="4" t="inlineStr">
        <is>
          <t>N dokumen sampel</t>
        </is>
      </c>
      <c r="L8" s="5">
        <f>COUNT(A5:A16)</f>
        <v/>
      </c>
      <c r="M8" s="5" t="inlineStr">
        <is>
          <t>dipakai 4_IDF</t>
        </is>
      </c>
    </row>
    <row r="9" ht="28" customHeight="1">
      <c r="A9" s="5" t="n">
        <v>5</v>
      </c>
      <c r="B9" s="6" t="inlineStr">
        <is>
          <t>I1d82a5e6ee</t>
        </is>
      </c>
      <c r="C9" s="6" t="inlineStr">
        <is>
          <t>Sayonara, Sri Mulyani</t>
        </is>
      </c>
      <c r="D9" s="6" t="inlineStr">
        <is>
          <t>Multimedia</t>
        </is>
      </c>
      <c r="E9" s="6" t="inlineStr">
        <is>
          <t>tempo</t>
        </is>
      </c>
      <c r="F9" s="7" t="n">
        <v>45912</v>
      </c>
      <c r="G9" s="6" t="inlineStr">
        <is>
          <t>mantan menteri uang sri mulyani indrawati sapa pegawai menteri uang jakarta september tiga periode sri mulyani lagi jabat menteri uang ganti purbaya yudhi sadewa lantik presiden prabowo subianto september tempo ilham balindra</t>
        </is>
      </c>
      <c r="H9" s="5" t="inlineStr">
        <is>
          <t>-</t>
        </is>
      </c>
      <c r="I9" s="5" t="inlineStr">
        <is>
          <t>-</t>
        </is>
      </c>
      <c r="K9" s="4" t="inlineStr">
        <is>
          <t>jumlah term unik</t>
        </is>
      </c>
      <c r="L9" s="5">
        <f>COUNTA('3_TF'!A6:A225)</f>
        <v/>
      </c>
      <c r="M9" s="5" t="inlineStr">
        <is>
          <t>kosakata</t>
        </is>
      </c>
    </row>
    <row r="10" ht="28" customHeight="1">
      <c r="A10" s="5" t="n">
        <v>6</v>
      </c>
      <c r="B10" s="6" t="inlineStr">
        <is>
          <t>Ib13654bb81</t>
        </is>
      </c>
      <c r="C10" s="6" t="inlineStr">
        <is>
          <t>Seribu Senjata</t>
        </is>
      </c>
      <c r="D10" s="6" t="inlineStr">
        <is>
          <t>Multimedia</t>
        </is>
      </c>
      <c r="E10" s="6" t="inlineStr">
        <is>
          <t>tempo</t>
        </is>
      </c>
      <c r="F10" s="7" t="n">
        <v>45940</v>
      </c>
      <c r="G10" s="6" t="inlineStr">
        <is>
          <t>atraksi pesawat ingat ulang tahun tentara nasional indonesia monumen nasional jakarta oktober upacara ulang tahun tni libat ribu prajurit lebih ribu alat utama sistem tahan angkat udara darat laut tempo ilham balindra</t>
        </is>
      </c>
      <c r="H10" s="5" t="inlineStr">
        <is>
          <t>-</t>
        </is>
      </c>
      <c r="I10" s="5" t="inlineStr">
        <is>
          <t>-</t>
        </is>
      </c>
      <c r="K10" s="4" t="inlineStr">
        <is>
          <t>dimensi faktor ALS</t>
        </is>
      </c>
      <c r="L10" s="5" t="n">
        <v>128</v>
      </c>
      <c r="M10" s="5" t="inlineStr">
        <is>
          <t>model indo_als</t>
        </is>
      </c>
    </row>
    <row r="11" ht="28" customHeight="1">
      <c r="A11" s="5" t="n">
        <v>7</v>
      </c>
      <c r="B11" s="6" t="inlineStr">
        <is>
          <t>I5259c70cfc</t>
        </is>
      </c>
      <c r="C11" s="6" t="inlineStr">
        <is>
          <t>Bak Orang</t>
        </is>
      </c>
      <c r="D11" s="6" t="inlineStr">
        <is>
          <t>Multimedia</t>
        </is>
      </c>
      <c r="E11" s="6" t="inlineStr">
        <is>
          <t>tempo</t>
        </is>
      </c>
      <c r="F11" s="7" t="n">
        <v>45926</v>
      </c>
      <c r="G11" s="6" t="inlineStr">
        <is>
          <t>petugas tangan prasarana sarana umum menaiki mobil dinas bak buka jalan sudirman jakarta september undang undang lalu lintas angkut jalan nomor tahun larang mobil bak buka angkut orang jalan raya tempo imam sukamto</t>
        </is>
      </c>
      <c r="H11" s="5" t="inlineStr">
        <is>
          <t>-</t>
        </is>
      </c>
      <c r="I11" s="5" t="inlineStr">
        <is>
          <t>-</t>
        </is>
      </c>
      <c r="K11" s="4" t="inlineStr">
        <is>
          <t>K evaluasi</t>
        </is>
      </c>
      <c r="L11" s="5" t="n">
        <v>5</v>
      </c>
      <c r="M11" s="5" t="inlineStr">
        <is>
          <t>metrik @10</t>
        </is>
      </c>
    </row>
    <row r="12" ht="28" customHeight="1">
      <c r="A12" s="5" t="n">
        <v>8</v>
      </c>
      <c r="B12" s="6" t="inlineStr">
        <is>
          <t>I67dbbb2a6e</t>
        </is>
      </c>
      <c r="C12" s="6" t="inlineStr">
        <is>
          <t>Mengenal Puthul, Serangga Sumber Protein Warga Gunungkidul</t>
        </is>
      </c>
      <c r="D12" s="6" t="inlineStr">
        <is>
          <t>Multimedia</t>
        </is>
      </c>
      <c r="E12" s="6" t="inlineStr">
        <is>
          <t>tempo</t>
        </is>
      </c>
      <c r="F12" s="7" t="n">
        <v>45949</v>
      </c>
      <c r="G12" s="6" t="inlineStr">
        <is>
          <t>warga gunungkidul memiliki waris rasa lokal manfaat apa alam jelang musim hujan banyak warga gunungkidul buru serangga puthul jadi sumber protein jual tambah video imam prasetyo nugroho rayyan suwanti ryan maulana editor videographer</t>
        </is>
      </c>
      <c r="H12" s="5" t="inlineStr">
        <is>
          <t>-</t>
        </is>
      </c>
      <c r="I12" s="5" t="inlineStr">
        <is>
          <t>Ya</t>
        </is>
      </c>
      <c r="K12" s="4" t="inlineStr">
        <is>
          <t>artikel profil sesi</t>
        </is>
      </c>
      <c r="L12" s="5" t="inlineStr">
        <is>
          <t>pos 1, 2, 4</t>
        </is>
      </c>
      <c r="M12" s="5" t="inlineStr">
        <is>
          <t>sudah dibaca -&gt; dimask</t>
        </is>
      </c>
    </row>
    <row r="13" ht="28" customHeight="1">
      <c r="A13" s="5" t="n">
        <v>9</v>
      </c>
      <c r="B13" s="6" t="inlineStr">
        <is>
          <t>I307e7d7249</t>
        </is>
      </c>
      <c r="C13" s="6" t="inlineStr">
        <is>
          <t>Panah Ikan</t>
        </is>
      </c>
      <c r="D13" s="6" t="inlineStr">
        <is>
          <t>Multimedia</t>
        </is>
      </c>
      <c r="E13" s="6" t="inlineStr">
        <is>
          <t>tempo</t>
        </is>
      </c>
      <c r="F13" s="7" t="n">
        <v>45940</v>
      </c>
      <c r="G13" s="6" t="inlineStr">
        <is>
          <t>nelayan suku bajo ditemani anak tangkap gurita air mola selatan wakatobi sulawesi tenggara oktober nelayan bajo tangkap ikan bekal panah suku hidup laut tahan selam waktu lama jalan dasar laut buru ikan jojon</t>
        </is>
      </c>
      <c r="H13" s="5" t="inlineStr">
        <is>
          <t>-</t>
        </is>
      </c>
      <c r="I13" s="5" t="inlineStr">
        <is>
          <t>Ya</t>
        </is>
      </c>
      <c r="K13" s="4" t="inlineStr">
        <is>
          <t>artikel relevan</t>
        </is>
      </c>
      <c r="L13" s="5" t="inlineStr">
        <is>
          <t>pos 8, 9</t>
        </is>
      </c>
      <c r="M13" s="5" t="inlineStr">
        <is>
          <t>untuk sheet 11</t>
        </is>
      </c>
    </row>
    <row r="14" ht="28" customHeight="1">
      <c r="A14" s="5" t="n">
        <v>10</v>
      </c>
      <c r="B14" s="6" t="inlineStr">
        <is>
          <t>I99144f9b4e</t>
        </is>
      </c>
      <c r="C14" s="6" t="inlineStr">
        <is>
          <t>Program Mobil Nasional Diusulkan Jadi Proyek Strategis Nasional</t>
        </is>
      </c>
      <c r="D14" s="6" t="inlineStr">
        <is>
          <t>Multimedia</t>
        </is>
      </c>
      <c r="E14" s="6" t="inlineStr">
        <is>
          <t>tempo</t>
        </is>
      </c>
      <c r="F14" s="7" t="n">
        <v>45951</v>
      </c>
      <c r="G14" s="6" t="inlineStr">
        <is>
          <t>menteri industri agus gumiwang kartasasmita kata menteri usul program mobil nasional minta presiden prabowo subianto jadi proyek strategis nasional psn foto tempo imam sukamto editor ryan maulana ryan maulana editor tempo co videographer</t>
        </is>
      </c>
      <c r="H14" s="5" t="inlineStr">
        <is>
          <t>-</t>
        </is>
      </c>
      <c r="I14" s="5" t="inlineStr">
        <is>
          <t>-</t>
        </is>
      </c>
    </row>
    <row r="15" ht="28" customHeight="1">
      <c r="A15" s="5" t="n">
        <v>11</v>
      </c>
      <c r="B15" s="6" t="inlineStr">
        <is>
          <t>I01684f5bad</t>
        </is>
      </c>
      <c r="C15" s="6" t="inlineStr">
        <is>
          <t>Dua Jenazah Santri Korban Ponpes Al Khoziny Ambruk Diidentifikasi</t>
        </is>
      </c>
      <c r="D15" s="6" t="inlineStr">
        <is>
          <t>Multimedia</t>
        </is>
      </c>
      <c r="E15" s="6" t="inlineStr">
        <is>
          <t>tempo</t>
        </is>
      </c>
      <c r="F15" s="7" t="n">
        <v>45936</v>
      </c>
      <c r="G15" s="6" t="inlineStr">
        <is>
          <t>ridi eka saputra editor videographer</t>
        </is>
      </c>
      <c r="H15" s="5" t="inlineStr">
        <is>
          <t>-</t>
        </is>
      </c>
      <c r="I15" s="5" t="inlineStr">
        <is>
          <t>-</t>
        </is>
      </c>
    </row>
    <row r="16" ht="28" customHeight="1">
      <c r="A16" s="5" t="n">
        <v>12</v>
      </c>
      <c r="B16" s="6" t="inlineStr">
        <is>
          <t>I18ca3d0ae0</t>
        </is>
      </c>
      <c r="C16" s="6" t="inlineStr">
        <is>
          <t>Gagal Menuju Gaza, Delegasi Indonesia Dalam Misi GSF Tiba di Tanah Air</t>
        </is>
      </c>
      <c r="D16" s="6" t="inlineStr">
        <is>
          <t>Multimedia</t>
        </is>
      </c>
      <c r="E16" s="6" t="inlineStr">
        <is>
          <t>tempo</t>
        </is>
      </c>
      <c r="F16" s="7" t="n">
        <v>45935</v>
      </c>
      <c r="G16" s="6" t="inlineStr">
        <is>
          <t>ridi eka saputra editor videographer</t>
        </is>
      </c>
      <c r="H16" s="5" t="inlineStr">
        <is>
          <t>-</t>
        </is>
      </c>
      <c r="I16"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cols>
    <col width="5" customWidth="1" min="1" max="1"/>
    <col width="13" customWidth="1" min="2" max="2"/>
    <col width="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s>
  <sheetData>
    <row r="1">
      <c r="A1" s="1" t="inlineStr">
        <is>
          <t>2 - Token per artikel</t>
        </is>
      </c>
    </row>
    <row r="2">
      <c r="A2" s="2" t="inlineStr">
        <is>
          <t>Satu token per kolom. Tokenisasi = pemisahan spasi; pola scikit-learn \b\w\w+\b otomatis terpenuhi karena korpus sudah lowercase, tanpa tanda baca, dan tanpa token satu huruf. Tidak ada stemming dan tidak ada stopword.</t>
        </is>
      </c>
    </row>
    <row r="4" ht="30" customHeight="1">
      <c r="A4" s="3" t="inlineStr">
        <is>
          <t>Pos</t>
        </is>
      </c>
      <c r="B4" s="3" t="inlineStr">
        <is>
          <t>nid</t>
        </is>
      </c>
      <c r="C4" s="3" t="inlineStr">
        <is>
          <t>Sesi?</t>
        </is>
      </c>
      <c r="D4" s="3" t="inlineStr">
        <is>
          <t>t1</t>
        </is>
      </c>
      <c r="E4" s="3" t="inlineStr">
        <is>
          <t>t2</t>
        </is>
      </c>
      <c r="F4" s="3" t="inlineStr">
        <is>
          <t>t3</t>
        </is>
      </c>
      <c r="G4" s="3" t="inlineStr">
        <is>
          <t>t4</t>
        </is>
      </c>
      <c r="H4" s="3" t="inlineStr">
        <is>
          <t>t5</t>
        </is>
      </c>
      <c r="I4" s="3" t="inlineStr">
        <is>
          <t>t6</t>
        </is>
      </c>
      <c r="J4" s="3" t="inlineStr">
        <is>
          <t>t7</t>
        </is>
      </c>
      <c r="K4" s="3" t="inlineStr">
        <is>
          <t>t8</t>
        </is>
      </c>
      <c r="L4" s="3" t="inlineStr">
        <is>
          <t>t9</t>
        </is>
      </c>
      <c r="M4" s="3" t="inlineStr">
        <is>
          <t>t10</t>
        </is>
      </c>
      <c r="N4" s="3" t="inlineStr">
        <is>
          <t>t11</t>
        </is>
      </c>
      <c r="O4" s="3" t="inlineStr">
        <is>
          <t>t12</t>
        </is>
      </c>
      <c r="P4" s="3" t="inlineStr">
        <is>
          <t>t13</t>
        </is>
      </c>
      <c r="Q4" s="3" t="inlineStr">
        <is>
          <t>t14</t>
        </is>
      </c>
      <c r="R4" s="3" t="inlineStr">
        <is>
          <t>t15</t>
        </is>
      </c>
      <c r="S4" s="3" t="inlineStr">
        <is>
          <t>t16</t>
        </is>
      </c>
      <c r="T4" s="3" t="inlineStr">
        <is>
          <t>t17</t>
        </is>
      </c>
      <c r="U4" s="3" t="inlineStr">
        <is>
          <t>t18</t>
        </is>
      </c>
      <c r="V4" s="3" t="inlineStr">
        <is>
          <t>t19</t>
        </is>
      </c>
      <c r="W4" s="3" t="inlineStr">
        <is>
          <t>t20</t>
        </is>
      </c>
      <c r="X4" s="3" t="inlineStr">
        <is>
          <t>t21</t>
        </is>
      </c>
      <c r="Y4" s="3" t="inlineStr">
        <is>
          <t>t22</t>
        </is>
      </c>
      <c r="Z4" s="3" t="inlineStr">
        <is>
          <t>t23</t>
        </is>
      </c>
      <c r="AA4" s="3" t="inlineStr">
        <is>
          <t>t24</t>
        </is>
      </c>
      <c r="AB4" s="3" t="inlineStr">
        <is>
          <t>t25</t>
        </is>
      </c>
      <c r="AC4" s="3" t="inlineStr">
        <is>
          <t>t26</t>
        </is>
      </c>
      <c r="AD4" s="3" t="inlineStr">
        <is>
          <t>t27</t>
        </is>
      </c>
      <c r="AE4" s="3" t="inlineStr">
        <is>
          <t>t28</t>
        </is>
      </c>
      <c r="AF4" s="3" t="inlineStr">
        <is>
          <t>t29</t>
        </is>
      </c>
      <c r="AG4" s="3" t="inlineStr">
        <is>
          <t>t30</t>
        </is>
      </c>
      <c r="AH4" s="3" t="inlineStr">
        <is>
          <t>t31</t>
        </is>
      </c>
      <c r="AI4" s="3" t="inlineStr">
        <is>
          <t>t32</t>
        </is>
      </c>
      <c r="AJ4" s="3" t="inlineStr">
        <is>
          <t>t33</t>
        </is>
      </c>
      <c r="AK4" s="3" t="inlineStr">
        <is>
          <t>t34</t>
        </is>
      </c>
    </row>
    <row r="5">
      <c r="A5" s="5" t="n">
        <v>1</v>
      </c>
      <c r="B5" s="6" t="inlineStr">
        <is>
          <t>I2d5df0726f</t>
        </is>
      </c>
      <c r="C5" s="5" t="inlineStr">
        <is>
          <t>Ya</t>
        </is>
      </c>
      <c r="D5" s="6" t="inlineStr">
        <is>
          <t>embung</t>
        </is>
      </c>
      <c r="E5" s="6" t="inlineStr">
        <is>
          <t>pekayon</t>
        </is>
      </c>
      <c r="F5" s="6" t="inlineStr">
        <is>
          <t>pasar</t>
        </is>
      </c>
      <c r="G5" s="6" t="inlineStr">
        <is>
          <t>rebo</t>
        </is>
      </c>
      <c r="H5" s="6" t="inlineStr">
        <is>
          <t>jakarta</t>
        </is>
      </c>
      <c r="I5" s="6" t="inlineStr">
        <is>
          <t>timur</t>
        </is>
      </c>
      <c r="J5" s="6" t="inlineStr">
        <is>
          <t>oktober</t>
        </is>
      </c>
      <c r="K5" s="6" t="inlineStr">
        <is>
          <t>embung</t>
        </is>
      </c>
      <c r="L5" s="6" t="inlineStr">
        <is>
          <t>buka</t>
        </is>
      </c>
      <c r="M5" s="6" t="inlineStr">
        <is>
          <t>desember</t>
        </is>
      </c>
      <c r="N5" s="6" t="inlineStr">
        <is>
          <t>berfungsi</t>
        </is>
      </c>
      <c r="O5" s="6" t="inlineStr">
        <is>
          <t>kendali</t>
        </is>
      </c>
      <c r="P5" s="6" t="inlineStr">
        <is>
          <t>banjir</t>
        </is>
      </c>
      <c r="Q5" s="6" t="inlineStr">
        <is>
          <t>sekaligus</t>
        </is>
      </c>
      <c r="R5" s="6" t="inlineStr">
        <is>
          <t>jadi</t>
        </is>
      </c>
      <c r="S5" s="6" t="inlineStr">
        <is>
          <t>sarana</t>
        </is>
      </c>
      <c r="T5" s="6" t="inlineStr">
        <is>
          <t>interaksi</t>
        </is>
      </c>
      <c r="U5" s="6" t="inlineStr">
        <is>
          <t>publik</t>
        </is>
      </c>
      <c r="V5" s="6" t="inlineStr">
        <is>
          <t>tempat</t>
        </is>
      </c>
      <c r="W5" s="6" t="inlineStr">
        <is>
          <t>rekreasi</t>
        </is>
      </c>
      <c r="X5" s="6" t="inlineStr">
        <is>
          <t>area</t>
        </is>
      </c>
      <c r="Y5" s="6" t="inlineStr">
        <is>
          <t>olahraga</t>
        </is>
      </c>
      <c r="Z5" s="6" t="inlineStr">
        <is>
          <t>pancing</t>
        </is>
      </c>
      <c r="AA5" s="6" t="inlineStr">
        <is>
          <t>tempo</t>
        </is>
      </c>
      <c r="AB5" s="6" t="inlineStr">
        <is>
          <t>fardi</t>
        </is>
      </c>
      <c r="AC5" s="6" t="inlineStr">
        <is>
          <t>bestari</t>
        </is>
      </c>
    </row>
    <row r="6">
      <c r="A6" s="5" t="n">
        <v>2</v>
      </c>
      <c r="B6" s="6" t="inlineStr">
        <is>
          <t>I0f3340d602</t>
        </is>
      </c>
      <c r="C6" s="5" t="inlineStr">
        <is>
          <t>Ya</t>
        </is>
      </c>
      <c r="D6" s="6" t="inlineStr">
        <is>
          <t>israel</t>
        </is>
      </c>
      <c r="E6" s="6" t="inlineStr">
        <is>
          <t>hamas</t>
        </is>
      </c>
      <c r="F6" s="6" t="inlineStr">
        <is>
          <t>tukar</t>
        </is>
      </c>
      <c r="G6" s="6" t="inlineStr">
        <is>
          <t>sandera</t>
        </is>
      </c>
      <c r="H6" s="6" t="inlineStr">
        <is>
          <t>tahan</t>
        </is>
      </c>
      <c r="I6" s="6" t="inlineStr">
        <is>
          <t>palestina</t>
        </is>
      </c>
      <c r="J6" s="6" t="inlineStr">
        <is>
          <t>hari</t>
        </is>
      </c>
      <c r="K6" s="6" t="inlineStr">
        <is>
          <t>senin</t>
        </is>
      </c>
      <c r="L6" s="6" t="inlineStr">
        <is>
          <t>oktober</t>
        </is>
      </c>
      <c r="M6" s="6" t="inlineStr">
        <is>
          <t>tukar</t>
        </is>
      </c>
      <c r="N6" s="6" t="inlineStr">
        <is>
          <t>sandera</t>
        </is>
      </c>
      <c r="O6" s="6" t="inlineStr">
        <is>
          <t>langkah</t>
        </is>
      </c>
      <c r="P6" s="6" t="inlineStr">
        <is>
          <t>penting</t>
        </is>
      </c>
      <c r="Q6" s="6" t="inlineStr">
        <is>
          <t>gencat</t>
        </is>
      </c>
      <c r="R6" s="6" t="inlineStr">
        <is>
          <t>senjata</t>
        </is>
      </c>
      <c r="S6" s="6" t="inlineStr">
        <is>
          <t>dua</t>
        </is>
      </c>
      <c r="T6" s="6" t="inlineStr">
        <is>
          <t>belah</t>
        </is>
      </c>
      <c r="U6" s="6" t="inlineStr">
        <is>
          <t>pihak</t>
        </is>
      </c>
      <c r="V6" s="6" t="inlineStr">
        <is>
          <t>sekarang</t>
        </is>
      </c>
      <c r="W6" s="6" t="inlineStr">
        <is>
          <t>berlaku</t>
        </is>
      </c>
      <c r="X6" s="6" t="inlineStr">
        <is>
          <t>foto</t>
        </is>
      </c>
      <c r="Y6" s="6" t="inlineStr">
        <is>
          <t>fotoeditor</t>
        </is>
      </c>
      <c r="Z6" s="6" t="inlineStr">
        <is>
          <t>ryan</t>
        </is>
      </c>
      <c r="AA6" s="6" t="inlineStr">
        <is>
          <t>maulana</t>
        </is>
      </c>
      <c r="AB6" s="6" t="inlineStr">
        <is>
          <t>ryan</t>
        </is>
      </c>
      <c r="AC6" s="6" t="inlineStr">
        <is>
          <t>maulana</t>
        </is>
      </c>
      <c r="AD6" s="6" t="inlineStr">
        <is>
          <t>editor</t>
        </is>
      </c>
      <c r="AE6" s="6" t="inlineStr">
        <is>
          <t>tempo</t>
        </is>
      </c>
      <c r="AF6" s="6" t="inlineStr">
        <is>
          <t>co</t>
        </is>
      </c>
      <c r="AG6" s="6" t="inlineStr">
        <is>
          <t>videographer</t>
        </is>
      </c>
    </row>
    <row r="7">
      <c r="A7" s="5" t="n">
        <v>3</v>
      </c>
      <c r="B7" s="6" t="inlineStr">
        <is>
          <t>Ic3f4f2512e</t>
        </is>
      </c>
      <c r="C7" s="5" t="inlineStr">
        <is>
          <t>-</t>
        </is>
      </c>
      <c r="D7" s="6" t="inlineStr">
        <is>
          <t>banyak</t>
        </is>
      </c>
      <c r="E7" s="6" t="inlineStr">
        <is>
          <t>kabupaten</t>
        </is>
      </c>
      <c r="F7" s="6" t="inlineStr">
        <is>
          <t>saing</t>
        </is>
      </c>
      <c r="G7" s="6" t="inlineStr">
        <is>
          <t>sipp</t>
        </is>
      </c>
      <c r="H7" s="6" t="inlineStr">
        <is>
          <t>award</t>
        </is>
      </c>
      <c r="I7" s="6" t="inlineStr">
        <is>
          <t>dorong</t>
        </is>
      </c>
      <c r="J7" s="6" t="inlineStr">
        <is>
          <t>bangun</t>
        </is>
      </c>
      <c r="K7" s="6" t="inlineStr">
        <is>
          <t>rendah</t>
        </is>
      </c>
      <c r="L7" s="6" t="inlineStr">
        <is>
          <t>karbon</t>
        </is>
      </c>
      <c r="M7" s="6" t="inlineStr">
        <is>
          <t>berkelanjutan</t>
        </is>
      </c>
      <c r="N7" s="6" t="inlineStr">
        <is>
          <t>salah</t>
        </is>
      </c>
      <c r="O7" s="6" t="inlineStr">
        <is>
          <t>satu</t>
        </is>
      </c>
      <c r="P7" s="6" t="inlineStr">
        <is>
          <t>terima</t>
        </is>
      </c>
      <c r="Q7" s="6" t="inlineStr">
        <is>
          <t>harga</t>
        </is>
      </c>
      <c r="R7" s="6" t="inlineStr">
        <is>
          <t>kepala</t>
        </is>
      </c>
      <c r="S7" s="6" t="inlineStr">
        <is>
          <t>bappeda</t>
        </is>
      </c>
      <c r="T7" s="6" t="inlineStr">
        <is>
          <t>bangka</t>
        </is>
      </c>
      <c r="U7" s="6" t="inlineStr">
        <is>
          <t>tengah</t>
        </is>
      </c>
      <c r="V7" s="6" t="inlineStr">
        <is>
          <t>joko</t>
        </is>
      </c>
      <c r="W7" s="6" t="inlineStr">
        <is>
          <t>triadhi</t>
        </is>
      </c>
      <c r="X7" s="6" t="inlineStr">
        <is>
          <t>komitmen</t>
        </is>
      </c>
      <c r="Y7" s="6" t="inlineStr">
        <is>
          <t>kembang</t>
        </is>
      </c>
      <c r="Z7" s="6" t="inlineStr">
        <is>
          <t>komoditas</t>
        </is>
      </c>
      <c r="AA7" s="6" t="inlineStr">
        <is>
          <t>ramah</t>
        </is>
      </c>
      <c r="AB7" s="6" t="inlineStr">
        <is>
          <t>lingkung</t>
        </is>
      </c>
      <c r="AC7" s="6" t="inlineStr">
        <is>
          <t>kelapa</t>
        </is>
      </c>
      <c r="AD7" s="6" t="inlineStr">
        <is>
          <t>kopi</t>
        </is>
      </c>
      <c r="AE7" s="6" t="inlineStr">
        <is>
          <t>cokelat</t>
        </is>
      </c>
      <c r="AF7" s="6" t="inlineStr">
        <is>
          <t>zulfikar</t>
        </is>
      </c>
      <c r="AG7" s="6" t="inlineStr">
        <is>
          <t>epriyadi</t>
        </is>
      </c>
      <c r="AH7" s="6" t="inlineStr">
        <is>
          <t>editor</t>
        </is>
      </c>
      <c r="AI7" s="6" t="inlineStr">
        <is>
          <t>muhammad</t>
        </is>
      </c>
      <c r="AJ7" s="6" t="inlineStr">
        <is>
          <t>iqbal</t>
        </is>
      </c>
      <c r="AK7" s="6" t="inlineStr">
        <is>
          <t>videographer</t>
        </is>
      </c>
    </row>
    <row r="8">
      <c r="A8" s="5" t="n">
        <v>4</v>
      </c>
      <c r="B8" s="6" t="inlineStr">
        <is>
          <t>Ifa9f81c923</t>
        </is>
      </c>
      <c r="C8" s="5" t="inlineStr">
        <is>
          <t>Ya</t>
        </is>
      </c>
      <c r="D8" s="6" t="inlineStr">
        <is>
          <t>lama</t>
        </is>
      </c>
      <c r="E8" s="6" t="inlineStr">
        <is>
          <t>jabat</t>
        </is>
      </c>
      <c r="F8" s="6" t="inlineStr">
        <is>
          <t>menteri</t>
        </is>
      </c>
      <c r="G8" s="6" t="inlineStr">
        <is>
          <t>bumn</t>
        </is>
      </c>
      <c r="H8" s="6" t="inlineStr">
        <is>
          <t>erick</t>
        </is>
      </c>
      <c r="I8" s="6" t="inlineStr">
        <is>
          <t>thohir</t>
        </is>
      </c>
      <c r="J8" s="6" t="inlineStr">
        <is>
          <t>dera</t>
        </is>
      </c>
      <c r="K8" s="6" t="inlineStr">
        <is>
          <t>sejumlah</t>
        </is>
      </c>
      <c r="L8" s="6" t="inlineStr">
        <is>
          <t>isu</t>
        </is>
      </c>
      <c r="M8" s="6" t="inlineStr">
        <is>
          <t>kontroversi</t>
        </is>
      </c>
      <c r="N8" s="6" t="inlineStr">
        <is>
          <t>anyar</t>
        </is>
      </c>
      <c r="O8" s="6" t="inlineStr">
        <is>
          <t>sorot</t>
        </is>
      </c>
      <c r="P8" s="6" t="inlineStr">
        <is>
          <t>masuk</t>
        </is>
      </c>
      <c r="Q8" s="6" t="inlineStr">
        <is>
          <t>menteri</t>
        </is>
      </c>
      <c r="R8" s="6" t="inlineStr">
        <is>
          <t>rangkap</t>
        </is>
      </c>
      <c r="S8" s="6" t="inlineStr">
        <is>
          <t>jabat</t>
        </is>
      </c>
      <c r="T8" s="6" t="inlineStr">
        <is>
          <t>kabinet</t>
        </is>
      </c>
      <c r="U8" s="6" t="inlineStr">
        <is>
          <t>perintah</t>
        </is>
      </c>
      <c r="V8" s="6" t="inlineStr">
        <is>
          <t>prabowo</t>
        </is>
      </c>
      <c r="W8" s="6" t="inlineStr">
        <is>
          <t>zulfikar</t>
        </is>
      </c>
      <c r="X8" s="6" t="inlineStr">
        <is>
          <t>epriyadi</t>
        </is>
      </c>
      <c r="Y8" s="6" t="inlineStr">
        <is>
          <t>editor</t>
        </is>
      </c>
      <c r="Z8" s="6" t="inlineStr">
        <is>
          <t>youtube</t>
        </is>
      </c>
      <c r="AA8" s="6" t="inlineStr">
        <is>
          <t>videographer</t>
        </is>
      </c>
    </row>
    <row r="9">
      <c r="A9" s="5" t="n">
        <v>5</v>
      </c>
      <c r="B9" s="6" t="inlineStr">
        <is>
          <t>I1d82a5e6ee</t>
        </is>
      </c>
      <c r="C9" s="5" t="inlineStr">
        <is>
          <t>-</t>
        </is>
      </c>
      <c r="D9" s="6" t="inlineStr">
        <is>
          <t>mantan</t>
        </is>
      </c>
      <c r="E9" s="6" t="inlineStr">
        <is>
          <t>menteri</t>
        </is>
      </c>
      <c r="F9" s="6" t="inlineStr">
        <is>
          <t>uang</t>
        </is>
      </c>
      <c r="G9" s="6" t="inlineStr">
        <is>
          <t>sri</t>
        </is>
      </c>
      <c r="H9" s="6" t="inlineStr">
        <is>
          <t>mulyani</t>
        </is>
      </c>
      <c r="I9" s="6" t="inlineStr">
        <is>
          <t>indrawati</t>
        </is>
      </c>
      <c r="J9" s="6" t="inlineStr">
        <is>
          <t>sapa</t>
        </is>
      </c>
      <c r="K9" s="6" t="inlineStr">
        <is>
          <t>pegawai</t>
        </is>
      </c>
      <c r="L9" s="6" t="inlineStr">
        <is>
          <t>menteri</t>
        </is>
      </c>
      <c r="M9" s="6" t="inlineStr">
        <is>
          <t>uang</t>
        </is>
      </c>
      <c r="N9" s="6" t="inlineStr">
        <is>
          <t>jakarta</t>
        </is>
      </c>
      <c r="O9" s="6" t="inlineStr">
        <is>
          <t>september</t>
        </is>
      </c>
      <c r="P9" s="6" t="inlineStr">
        <is>
          <t>tiga</t>
        </is>
      </c>
      <c r="Q9" s="6" t="inlineStr">
        <is>
          <t>periode</t>
        </is>
      </c>
      <c r="R9" s="6" t="inlineStr">
        <is>
          <t>sri</t>
        </is>
      </c>
      <c r="S9" s="6" t="inlineStr">
        <is>
          <t>mulyani</t>
        </is>
      </c>
      <c r="T9" s="6" t="inlineStr">
        <is>
          <t>lagi</t>
        </is>
      </c>
      <c r="U9" s="6" t="inlineStr">
        <is>
          <t>jabat</t>
        </is>
      </c>
      <c r="V9" s="6" t="inlineStr">
        <is>
          <t>menteri</t>
        </is>
      </c>
      <c r="W9" s="6" t="inlineStr">
        <is>
          <t>uang</t>
        </is>
      </c>
      <c r="X9" s="6" t="inlineStr">
        <is>
          <t>ganti</t>
        </is>
      </c>
      <c r="Y9" s="6" t="inlineStr">
        <is>
          <t>purbaya</t>
        </is>
      </c>
      <c r="Z9" s="6" t="inlineStr">
        <is>
          <t>yudhi</t>
        </is>
      </c>
      <c r="AA9" s="6" t="inlineStr">
        <is>
          <t>sadewa</t>
        </is>
      </c>
      <c r="AB9" s="6" t="inlineStr">
        <is>
          <t>lantik</t>
        </is>
      </c>
      <c r="AC9" s="6" t="inlineStr">
        <is>
          <t>presiden</t>
        </is>
      </c>
      <c r="AD9" s="6" t="inlineStr">
        <is>
          <t>prabowo</t>
        </is>
      </c>
      <c r="AE9" s="6" t="inlineStr">
        <is>
          <t>subianto</t>
        </is>
      </c>
      <c r="AF9" s="6" t="inlineStr">
        <is>
          <t>september</t>
        </is>
      </c>
      <c r="AG9" s="6" t="inlineStr">
        <is>
          <t>tempo</t>
        </is>
      </c>
      <c r="AH9" s="6" t="inlineStr">
        <is>
          <t>ilham</t>
        </is>
      </c>
      <c r="AI9" s="6" t="inlineStr">
        <is>
          <t>balindra</t>
        </is>
      </c>
    </row>
    <row r="10">
      <c r="A10" s="5" t="n">
        <v>6</v>
      </c>
      <c r="B10" s="6" t="inlineStr">
        <is>
          <t>Ib13654bb81</t>
        </is>
      </c>
      <c r="C10" s="5" t="inlineStr">
        <is>
          <t>-</t>
        </is>
      </c>
      <c r="D10" s="6" t="inlineStr">
        <is>
          <t>atraksi</t>
        </is>
      </c>
      <c r="E10" s="6" t="inlineStr">
        <is>
          <t>pesawat</t>
        </is>
      </c>
      <c r="F10" s="6" t="inlineStr">
        <is>
          <t>ingat</t>
        </is>
      </c>
      <c r="G10" s="6" t="inlineStr">
        <is>
          <t>ulang</t>
        </is>
      </c>
      <c r="H10" s="6" t="inlineStr">
        <is>
          <t>tahun</t>
        </is>
      </c>
      <c r="I10" s="6" t="inlineStr">
        <is>
          <t>tentara</t>
        </is>
      </c>
      <c r="J10" s="6" t="inlineStr">
        <is>
          <t>nasional</t>
        </is>
      </c>
      <c r="K10" s="6" t="inlineStr">
        <is>
          <t>indonesia</t>
        </is>
      </c>
      <c r="L10" s="6" t="inlineStr">
        <is>
          <t>monumen</t>
        </is>
      </c>
      <c r="M10" s="6" t="inlineStr">
        <is>
          <t>nasional</t>
        </is>
      </c>
      <c r="N10" s="6" t="inlineStr">
        <is>
          <t>jakarta</t>
        </is>
      </c>
      <c r="O10" s="6" t="inlineStr">
        <is>
          <t>oktober</t>
        </is>
      </c>
      <c r="P10" s="6" t="inlineStr">
        <is>
          <t>upacara</t>
        </is>
      </c>
      <c r="Q10" s="6" t="inlineStr">
        <is>
          <t>ulang</t>
        </is>
      </c>
      <c r="R10" s="6" t="inlineStr">
        <is>
          <t>tahun</t>
        </is>
      </c>
      <c r="S10" s="6" t="inlineStr">
        <is>
          <t>tni</t>
        </is>
      </c>
      <c r="T10" s="6" t="inlineStr">
        <is>
          <t>libat</t>
        </is>
      </c>
      <c r="U10" s="6" t="inlineStr">
        <is>
          <t>ribu</t>
        </is>
      </c>
      <c r="V10" s="6" t="inlineStr">
        <is>
          <t>prajurit</t>
        </is>
      </c>
      <c r="W10" s="6" t="inlineStr">
        <is>
          <t>lebih</t>
        </is>
      </c>
      <c r="X10" s="6" t="inlineStr">
        <is>
          <t>ribu</t>
        </is>
      </c>
      <c r="Y10" s="6" t="inlineStr">
        <is>
          <t>alat</t>
        </is>
      </c>
      <c r="Z10" s="6" t="inlineStr">
        <is>
          <t>utama</t>
        </is>
      </c>
      <c r="AA10" s="6" t="inlineStr">
        <is>
          <t>sistem</t>
        </is>
      </c>
      <c r="AB10" s="6" t="inlineStr">
        <is>
          <t>tahan</t>
        </is>
      </c>
      <c r="AC10" s="6" t="inlineStr">
        <is>
          <t>angkat</t>
        </is>
      </c>
      <c r="AD10" s="6" t="inlineStr">
        <is>
          <t>udara</t>
        </is>
      </c>
      <c r="AE10" s="6" t="inlineStr">
        <is>
          <t>darat</t>
        </is>
      </c>
      <c r="AF10" s="6" t="inlineStr">
        <is>
          <t>laut</t>
        </is>
      </c>
      <c r="AG10" s="6" t="inlineStr">
        <is>
          <t>tempo</t>
        </is>
      </c>
      <c r="AH10" s="6" t="inlineStr">
        <is>
          <t>ilham</t>
        </is>
      </c>
      <c r="AI10" s="6" t="inlineStr">
        <is>
          <t>balindra</t>
        </is>
      </c>
    </row>
    <row r="11">
      <c r="A11" s="5" t="n">
        <v>7</v>
      </c>
      <c r="B11" s="6" t="inlineStr">
        <is>
          <t>I5259c70cfc</t>
        </is>
      </c>
      <c r="C11" s="5" t="inlineStr">
        <is>
          <t>-</t>
        </is>
      </c>
      <c r="D11" s="6" t="inlineStr">
        <is>
          <t>petugas</t>
        </is>
      </c>
      <c r="E11" s="6" t="inlineStr">
        <is>
          <t>tangan</t>
        </is>
      </c>
      <c r="F11" s="6" t="inlineStr">
        <is>
          <t>prasarana</t>
        </is>
      </c>
      <c r="G11" s="6" t="inlineStr">
        <is>
          <t>sarana</t>
        </is>
      </c>
      <c r="H11" s="6" t="inlineStr">
        <is>
          <t>umum</t>
        </is>
      </c>
      <c r="I11" s="6" t="inlineStr">
        <is>
          <t>menaiki</t>
        </is>
      </c>
      <c r="J11" s="6" t="inlineStr">
        <is>
          <t>mobil</t>
        </is>
      </c>
      <c r="K11" s="6" t="inlineStr">
        <is>
          <t>dinas</t>
        </is>
      </c>
      <c r="L11" s="6" t="inlineStr">
        <is>
          <t>bak</t>
        </is>
      </c>
      <c r="M11" s="6" t="inlineStr">
        <is>
          <t>buka</t>
        </is>
      </c>
      <c r="N11" s="6" t="inlineStr">
        <is>
          <t>jalan</t>
        </is>
      </c>
      <c r="O11" s="6" t="inlineStr">
        <is>
          <t>sudirman</t>
        </is>
      </c>
      <c r="P11" s="6" t="inlineStr">
        <is>
          <t>jakarta</t>
        </is>
      </c>
      <c r="Q11" s="6" t="inlineStr">
        <is>
          <t>september</t>
        </is>
      </c>
      <c r="R11" s="6" t="inlineStr">
        <is>
          <t>undang</t>
        </is>
      </c>
      <c r="S11" s="6" t="inlineStr">
        <is>
          <t>undang</t>
        </is>
      </c>
      <c r="T11" s="6" t="inlineStr">
        <is>
          <t>lalu</t>
        </is>
      </c>
      <c r="U11" s="6" t="inlineStr">
        <is>
          <t>lintas</t>
        </is>
      </c>
      <c r="V11" s="6" t="inlineStr">
        <is>
          <t>angkut</t>
        </is>
      </c>
      <c r="W11" s="6" t="inlineStr">
        <is>
          <t>jalan</t>
        </is>
      </c>
      <c r="X11" s="6" t="inlineStr">
        <is>
          <t>nomor</t>
        </is>
      </c>
      <c r="Y11" s="6" t="inlineStr">
        <is>
          <t>tahun</t>
        </is>
      </c>
      <c r="Z11" s="6" t="inlineStr">
        <is>
          <t>larang</t>
        </is>
      </c>
      <c r="AA11" s="6" t="inlineStr">
        <is>
          <t>mobil</t>
        </is>
      </c>
      <c r="AB11" s="6" t="inlineStr">
        <is>
          <t>bak</t>
        </is>
      </c>
      <c r="AC11" s="6" t="inlineStr">
        <is>
          <t>buka</t>
        </is>
      </c>
      <c r="AD11" s="6" t="inlineStr">
        <is>
          <t>angkut</t>
        </is>
      </c>
      <c r="AE11" s="6" t="inlineStr">
        <is>
          <t>orang</t>
        </is>
      </c>
      <c r="AF11" s="6" t="inlineStr">
        <is>
          <t>jalan</t>
        </is>
      </c>
      <c r="AG11" s="6" t="inlineStr">
        <is>
          <t>raya</t>
        </is>
      </c>
      <c r="AH11" s="6" t="inlineStr">
        <is>
          <t>tempo</t>
        </is>
      </c>
      <c r="AI11" s="6" t="inlineStr">
        <is>
          <t>imam</t>
        </is>
      </c>
      <c r="AJ11" s="6" t="inlineStr">
        <is>
          <t>sukamto</t>
        </is>
      </c>
    </row>
    <row r="12">
      <c r="A12" s="5" t="n">
        <v>8</v>
      </c>
      <c r="B12" s="6" t="inlineStr">
        <is>
          <t>I67dbbb2a6e</t>
        </is>
      </c>
      <c r="C12" s="5" t="inlineStr">
        <is>
          <t>-</t>
        </is>
      </c>
      <c r="D12" s="6" t="inlineStr">
        <is>
          <t>warga</t>
        </is>
      </c>
      <c r="E12" s="6" t="inlineStr">
        <is>
          <t>gunungkidul</t>
        </is>
      </c>
      <c r="F12" s="6" t="inlineStr">
        <is>
          <t>memiliki</t>
        </is>
      </c>
      <c r="G12" s="6" t="inlineStr">
        <is>
          <t>waris</t>
        </is>
      </c>
      <c r="H12" s="6" t="inlineStr">
        <is>
          <t>rasa</t>
        </is>
      </c>
      <c r="I12" s="6" t="inlineStr">
        <is>
          <t>lokal</t>
        </is>
      </c>
      <c r="J12" s="6" t="inlineStr">
        <is>
          <t>manfaat</t>
        </is>
      </c>
      <c r="K12" s="6" t="inlineStr">
        <is>
          <t>apa</t>
        </is>
      </c>
      <c r="L12" s="6" t="inlineStr">
        <is>
          <t>alam</t>
        </is>
      </c>
      <c r="M12" s="6" t="inlineStr">
        <is>
          <t>jelang</t>
        </is>
      </c>
      <c r="N12" s="6" t="inlineStr">
        <is>
          <t>musim</t>
        </is>
      </c>
      <c r="O12" s="6" t="inlineStr">
        <is>
          <t>hujan</t>
        </is>
      </c>
      <c r="P12" s="6" t="inlineStr">
        <is>
          <t>banyak</t>
        </is>
      </c>
      <c r="Q12" s="6" t="inlineStr">
        <is>
          <t>warga</t>
        </is>
      </c>
      <c r="R12" s="6" t="inlineStr">
        <is>
          <t>gunungkidul</t>
        </is>
      </c>
      <c r="S12" s="6" t="inlineStr">
        <is>
          <t>buru</t>
        </is>
      </c>
      <c r="T12" s="6" t="inlineStr">
        <is>
          <t>serangga</t>
        </is>
      </c>
      <c r="U12" s="6" t="inlineStr">
        <is>
          <t>puthul</t>
        </is>
      </c>
      <c r="V12" s="6" t="inlineStr">
        <is>
          <t>jadi</t>
        </is>
      </c>
      <c r="W12" s="6" t="inlineStr">
        <is>
          <t>sumber</t>
        </is>
      </c>
      <c r="X12" s="6" t="inlineStr">
        <is>
          <t>protein</t>
        </is>
      </c>
      <c r="Y12" s="6" t="inlineStr">
        <is>
          <t>jual</t>
        </is>
      </c>
      <c r="Z12" s="6" t="inlineStr">
        <is>
          <t>tambah</t>
        </is>
      </c>
      <c r="AA12" s="6" t="inlineStr">
        <is>
          <t>video</t>
        </is>
      </c>
      <c r="AB12" s="6" t="inlineStr">
        <is>
          <t>imam</t>
        </is>
      </c>
      <c r="AC12" s="6" t="inlineStr">
        <is>
          <t>prasetyo</t>
        </is>
      </c>
      <c r="AD12" s="6" t="inlineStr">
        <is>
          <t>nugroho</t>
        </is>
      </c>
      <c r="AE12" s="6" t="inlineStr">
        <is>
          <t>rayyan</t>
        </is>
      </c>
      <c r="AF12" s="6" t="inlineStr">
        <is>
          <t>suwanti</t>
        </is>
      </c>
      <c r="AG12" s="6" t="inlineStr">
        <is>
          <t>ryan</t>
        </is>
      </c>
      <c r="AH12" s="6" t="inlineStr">
        <is>
          <t>maulana</t>
        </is>
      </c>
      <c r="AI12" s="6" t="inlineStr">
        <is>
          <t>editor</t>
        </is>
      </c>
      <c r="AJ12" s="6" t="inlineStr">
        <is>
          <t>videographer</t>
        </is>
      </c>
    </row>
    <row r="13">
      <c r="A13" s="5" t="n">
        <v>9</v>
      </c>
      <c r="B13" s="6" t="inlineStr">
        <is>
          <t>I307e7d7249</t>
        </is>
      </c>
      <c r="C13" s="5" t="inlineStr">
        <is>
          <t>-</t>
        </is>
      </c>
      <c r="D13" s="6" t="inlineStr">
        <is>
          <t>nelayan</t>
        </is>
      </c>
      <c r="E13" s="6" t="inlineStr">
        <is>
          <t>suku</t>
        </is>
      </c>
      <c r="F13" s="6" t="inlineStr">
        <is>
          <t>bajo</t>
        </is>
      </c>
      <c r="G13" s="6" t="inlineStr">
        <is>
          <t>ditemani</t>
        </is>
      </c>
      <c r="H13" s="6" t="inlineStr">
        <is>
          <t>anak</t>
        </is>
      </c>
      <c r="I13" s="6" t="inlineStr">
        <is>
          <t>tangkap</t>
        </is>
      </c>
      <c r="J13" s="6" t="inlineStr">
        <is>
          <t>gurita</t>
        </is>
      </c>
      <c r="K13" s="6" t="inlineStr">
        <is>
          <t>air</t>
        </is>
      </c>
      <c r="L13" s="6" t="inlineStr">
        <is>
          <t>mola</t>
        </is>
      </c>
      <c r="M13" s="6" t="inlineStr">
        <is>
          <t>selatan</t>
        </is>
      </c>
      <c r="N13" s="6" t="inlineStr">
        <is>
          <t>wakatobi</t>
        </is>
      </c>
      <c r="O13" s="6" t="inlineStr">
        <is>
          <t>sulawesi</t>
        </is>
      </c>
      <c r="P13" s="6" t="inlineStr">
        <is>
          <t>tenggara</t>
        </is>
      </c>
      <c r="Q13" s="6" t="inlineStr">
        <is>
          <t>oktober</t>
        </is>
      </c>
      <c r="R13" s="6" t="inlineStr">
        <is>
          <t>nelayan</t>
        </is>
      </c>
      <c r="S13" s="6" t="inlineStr">
        <is>
          <t>bajo</t>
        </is>
      </c>
      <c r="T13" s="6" t="inlineStr">
        <is>
          <t>tangkap</t>
        </is>
      </c>
      <c r="U13" s="6" t="inlineStr">
        <is>
          <t>ikan</t>
        </is>
      </c>
      <c r="V13" s="6" t="inlineStr">
        <is>
          <t>bekal</t>
        </is>
      </c>
      <c r="W13" s="6" t="inlineStr">
        <is>
          <t>panah</t>
        </is>
      </c>
      <c r="X13" s="6" t="inlineStr">
        <is>
          <t>suku</t>
        </is>
      </c>
      <c r="Y13" s="6" t="inlineStr">
        <is>
          <t>hidup</t>
        </is>
      </c>
      <c r="Z13" s="6" t="inlineStr">
        <is>
          <t>laut</t>
        </is>
      </c>
      <c r="AA13" s="6" t="inlineStr">
        <is>
          <t>tahan</t>
        </is>
      </c>
      <c r="AB13" s="6" t="inlineStr">
        <is>
          <t>selam</t>
        </is>
      </c>
      <c r="AC13" s="6" t="inlineStr">
        <is>
          <t>waktu</t>
        </is>
      </c>
      <c r="AD13" s="6" t="inlineStr">
        <is>
          <t>lama</t>
        </is>
      </c>
      <c r="AE13" s="6" t="inlineStr">
        <is>
          <t>jalan</t>
        </is>
      </c>
      <c r="AF13" s="6" t="inlineStr">
        <is>
          <t>dasar</t>
        </is>
      </c>
      <c r="AG13" s="6" t="inlineStr">
        <is>
          <t>laut</t>
        </is>
      </c>
      <c r="AH13" s="6" t="inlineStr">
        <is>
          <t>buru</t>
        </is>
      </c>
      <c r="AI13" s="6" t="inlineStr">
        <is>
          <t>ikan</t>
        </is>
      </c>
      <c r="AJ13" s="6" t="inlineStr">
        <is>
          <t>jojon</t>
        </is>
      </c>
    </row>
    <row r="14">
      <c r="A14" s="5" t="n">
        <v>10</v>
      </c>
      <c r="B14" s="6" t="inlineStr">
        <is>
          <t>I99144f9b4e</t>
        </is>
      </c>
      <c r="C14" s="5" t="inlineStr">
        <is>
          <t>-</t>
        </is>
      </c>
      <c r="D14" s="6" t="inlineStr">
        <is>
          <t>menteri</t>
        </is>
      </c>
      <c r="E14" s="6" t="inlineStr">
        <is>
          <t>industri</t>
        </is>
      </c>
      <c r="F14" s="6" t="inlineStr">
        <is>
          <t>agus</t>
        </is>
      </c>
      <c r="G14" s="6" t="inlineStr">
        <is>
          <t>gumiwang</t>
        </is>
      </c>
      <c r="H14" s="6" t="inlineStr">
        <is>
          <t>kartasasmita</t>
        </is>
      </c>
      <c r="I14" s="6" t="inlineStr">
        <is>
          <t>kata</t>
        </is>
      </c>
      <c r="J14" s="6" t="inlineStr">
        <is>
          <t>menteri</t>
        </is>
      </c>
      <c r="K14" s="6" t="inlineStr">
        <is>
          <t>usul</t>
        </is>
      </c>
      <c r="L14" s="6" t="inlineStr">
        <is>
          <t>program</t>
        </is>
      </c>
      <c r="M14" s="6" t="inlineStr">
        <is>
          <t>mobil</t>
        </is>
      </c>
      <c r="N14" s="6" t="inlineStr">
        <is>
          <t>nasional</t>
        </is>
      </c>
      <c r="O14" s="6" t="inlineStr">
        <is>
          <t>minta</t>
        </is>
      </c>
      <c r="P14" s="6" t="inlineStr">
        <is>
          <t>presiden</t>
        </is>
      </c>
      <c r="Q14" s="6" t="inlineStr">
        <is>
          <t>prabowo</t>
        </is>
      </c>
      <c r="R14" s="6" t="inlineStr">
        <is>
          <t>subianto</t>
        </is>
      </c>
      <c r="S14" s="6" t="inlineStr">
        <is>
          <t>jadi</t>
        </is>
      </c>
      <c r="T14" s="6" t="inlineStr">
        <is>
          <t>proyek</t>
        </is>
      </c>
      <c r="U14" s="6" t="inlineStr">
        <is>
          <t>strategis</t>
        </is>
      </c>
      <c r="V14" s="6" t="inlineStr">
        <is>
          <t>nasional</t>
        </is>
      </c>
      <c r="W14" s="6" t="inlineStr">
        <is>
          <t>psn</t>
        </is>
      </c>
      <c r="X14" s="6" t="inlineStr">
        <is>
          <t>foto</t>
        </is>
      </c>
      <c r="Y14" s="6" t="inlineStr">
        <is>
          <t>tempo</t>
        </is>
      </c>
      <c r="Z14" s="6" t="inlineStr">
        <is>
          <t>imam</t>
        </is>
      </c>
      <c r="AA14" s="6" t="inlineStr">
        <is>
          <t>sukamto</t>
        </is>
      </c>
      <c r="AB14" s="6" t="inlineStr">
        <is>
          <t>editor</t>
        </is>
      </c>
      <c r="AC14" s="6" t="inlineStr">
        <is>
          <t>ryan</t>
        </is>
      </c>
      <c r="AD14" s="6" t="inlineStr">
        <is>
          <t>maulana</t>
        </is>
      </c>
      <c r="AE14" s="6" t="inlineStr">
        <is>
          <t>ryan</t>
        </is>
      </c>
      <c r="AF14" s="6" t="inlineStr">
        <is>
          <t>maulana</t>
        </is>
      </c>
      <c r="AG14" s="6" t="inlineStr">
        <is>
          <t>editor</t>
        </is>
      </c>
      <c r="AH14" s="6" t="inlineStr">
        <is>
          <t>tempo</t>
        </is>
      </c>
      <c r="AI14" s="6" t="inlineStr">
        <is>
          <t>co</t>
        </is>
      </c>
      <c r="AJ14" s="6" t="inlineStr">
        <is>
          <t>videographer</t>
        </is>
      </c>
    </row>
    <row r="15">
      <c r="A15" s="5" t="n">
        <v>11</v>
      </c>
      <c r="B15" s="6" t="inlineStr">
        <is>
          <t>I01684f5bad</t>
        </is>
      </c>
      <c r="C15" s="5" t="inlineStr">
        <is>
          <t>-</t>
        </is>
      </c>
      <c r="D15" s="6" t="inlineStr">
        <is>
          <t>ridi</t>
        </is>
      </c>
      <c r="E15" s="6" t="inlineStr">
        <is>
          <t>eka</t>
        </is>
      </c>
      <c r="F15" s="6" t="inlineStr">
        <is>
          <t>saputra</t>
        </is>
      </c>
      <c r="G15" s="6" t="inlineStr">
        <is>
          <t>editor</t>
        </is>
      </c>
      <c r="H15" s="6" t="inlineStr">
        <is>
          <t>videographer</t>
        </is>
      </c>
    </row>
    <row r="16">
      <c r="A16" s="5" t="n">
        <v>12</v>
      </c>
      <c r="B16" s="6" t="inlineStr">
        <is>
          <t>I18ca3d0ae0</t>
        </is>
      </c>
      <c r="C16" s="5" t="inlineStr">
        <is>
          <t>-</t>
        </is>
      </c>
      <c r="D16" s="6" t="inlineStr">
        <is>
          <t>ridi</t>
        </is>
      </c>
      <c r="E16" s="6" t="inlineStr">
        <is>
          <t>eka</t>
        </is>
      </c>
      <c r="F16" s="6" t="inlineStr">
        <is>
          <t>saputra</t>
        </is>
      </c>
      <c r="G16" s="6" t="inlineStr">
        <is>
          <t>editor</t>
        </is>
      </c>
      <c r="H16" s="6" t="inlineStr">
        <is>
          <t>videographer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26"/>
  <sheetViews>
    <sheetView workbookViewId="0">
      <selection activeCell="A1" sqref="A1"/>
    </sheetView>
  </sheetViews>
  <sheetFormatPr baseColWidth="8" defaultRowHeight="15"/>
  <cols>
    <col width="20"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s>
  <sheetData>
    <row r="1">
      <c r="A1" s="1" t="inlineStr">
        <is>
          <t>3 - Term Frequency (TF mentah)</t>
        </is>
      </c>
    </row>
    <row r="2">
      <c r="A2" s="2" t="inlineStr">
        <is>
          <t>TF = jumlah kemunculan term pada artikel, dihitung COUNTIF ke baris token di 2_Token. scikit-learn tidak membagi TF dengan panjang dokumen (sublinear_tf = False).</t>
        </is>
      </c>
    </row>
    <row r="4" ht="30" customHeight="1">
      <c r="A4" s="3" t="inlineStr">
        <is>
          <t>Term</t>
        </is>
      </c>
      <c r="B4" s="3" t="inlineStr">
        <is>
          <t>pos 1</t>
        </is>
      </c>
      <c r="C4" s="3" t="inlineStr">
        <is>
          <t>pos 2</t>
        </is>
      </c>
      <c r="D4" s="3" t="inlineStr">
        <is>
          <t>pos 3</t>
        </is>
      </c>
      <c r="E4" s="3" t="inlineStr">
        <is>
          <t>pos 4</t>
        </is>
      </c>
      <c r="F4" s="3" t="inlineStr">
        <is>
          <t>pos 5</t>
        </is>
      </c>
      <c r="G4" s="3" t="inlineStr">
        <is>
          <t>pos 6</t>
        </is>
      </c>
      <c r="H4" s="3" t="inlineStr">
        <is>
          <t>pos 7</t>
        </is>
      </c>
      <c r="I4" s="3" t="inlineStr">
        <is>
          <t>pos 8</t>
        </is>
      </c>
      <c r="J4" s="3" t="inlineStr">
        <is>
          <t>pos 9</t>
        </is>
      </c>
      <c r="K4" s="3" t="inlineStr">
        <is>
          <t>pos 10</t>
        </is>
      </c>
      <c r="L4" s="3" t="inlineStr">
        <is>
          <t>pos 11</t>
        </is>
      </c>
      <c r="M4" s="3" t="inlineStr">
        <is>
          <t>pos 12</t>
        </is>
      </c>
      <c r="N4" s="3" t="inlineStr">
        <is>
          <t>Total</t>
        </is>
      </c>
    </row>
    <row r="6">
      <c r="A6" s="6" t="inlineStr">
        <is>
          <t>agus</t>
        </is>
      </c>
      <c r="B6" s="5">
        <f>COUNTIF('2_Token'!$D$5:$AK$5,$A6)</f>
        <v/>
      </c>
      <c r="C6" s="5">
        <f>COUNTIF('2_Token'!$D$6:$AK$6,$A6)</f>
        <v/>
      </c>
      <c r="D6" s="5">
        <f>COUNTIF('2_Token'!$D$7:$AK$7,$A6)</f>
        <v/>
      </c>
      <c r="E6" s="5">
        <f>COUNTIF('2_Token'!$D$8:$AK$8,$A6)</f>
        <v/>
      </c>
      <c r="F6" s="5">
        <f>COUNTIF('2_Token'!$D$9:$AK$9,$A6)</f>
        <v/>
      </c>
      <c r="G6" s="5">
        <f>COUNTIF('2_Token'!$D$10:$AK$10,$A6)</f>
        <v/>
      </c>
      <c r="H6" s="5">
        <f>COUNTIF('2_Token'!$D$11:$AK$11,$A6)</f>
        <v/>
      </c>
      <c r="I6" s="5">
        <f>COUNTIF('2_Token'!$D$12:$AK$12,$A6)</f>
        <v/>
      </c>
      <c r="J6" s="5">
        <f>COUNTIF('2_Token'!$D$13:$AK$13,$A6)</f>
        <v/>
      </c>
      <c r="K6" s="5">
        <f>COUNTIF('2_Token'!$D$14:$AK$14,$A6)</f>
        <v/>
      </c>
      <c r="L6" s="5">
        <f>COUNTIF('2_Token'!$D$15:$AK$15,$A6)</f>
        <v/>
      </c>
      <c r="M6" s="5">
        <f>COUNTIF('2_Token'!$D$16:$AK$16,$A6)</f>
        <v/>
      </c>
      <c r="N6" s="5">
        <f>SUM(B6:M6)</f>
        <v/>
      </c>
    </row>
    <row r="7">
      <c r="A7" s="6" t="inlineStr">
        <is>
          <t>air</t>
        </is>
      </c>
      <c r="B7" s="5">
        <f>COUNTIF('2_Token'!$D$5:$AK$5,$A7)</f>
        <v/>
      </c>
      <c r="C7" s="5">
        <f>COUNTIF('2_Token'!$D$6:$AK$6,$A7)</f>
        <v/>
      </c>
      <c r="D7" s="5">
        <f>COUNTIF('2_Token'!$D$7:$AK$7,$A7)</f>
        <v/>
      </c>
      <c r="E7" s="5">
        <f>COUNTIF('2_Token'!$D$8:$AK$8,$A7)</f>
        <v/>
      </c>
      <c r="F7" s="5">
        <f>COUNTIF('2_Token'!$D$9:$AK$9,$A7)</f>
        <v/>
      </c>
      <c r="G7" s="5">
        <f>COUNTIF('2_Token'!$D$10:$AK$10,$A7)</f>
        <v/>
      </c>
      <c r="H7" s="5">
        <f>COUNTIF('2_Token'!$D$11:$AK$11,$A7)</f>
        <v/>
      </c>
      <c r="I7" s="5">
        <f>COUNTIF('2_Token'!$D$12:$AK$12,$A7)</f>
        <v/>
      </c>
      <c r="J7" s="5">
        <f>COUNTIF('2_Token'!$D$13:$AK$13,$A7)</f>
        <v/>
      </c>
      <c r="K7" s="5">
        <f>COUNTIF('2_Token'!$D$14:$AK$14,$A7)</f>
        <v/>
      </c>
      <c r="L7" s="5">
        <f>COUNTIF('2_Token'!$D$15:$AK$15,$A7)</f>
        <v/>
      </c>
      <c r="M7" s="5">
        <f>COUNTIF('2_Token'!$D$16:$AK$16,$A7)</f>
        <v/>
      </c>
      <c r="N7" s="5">
        <f>SUM(B7:M7)</f>
        <v/>
      </c>
    </row>
    <row r="8">
      <c r="A8" s="6" t="inlineStr">
        <is>
          <t>alam</t>
        </is>
      </c>
      <c r="B8" s="5">
        <f>COUNTIF('2_Token'!$D$5:$AK$5,$A8)</f>
        <v/>
      </c>
      <c r="C8" s="5">
        <f>COUNTIF('2_Token'!$D$6:$AK$6,$A8)</f>
        <v/>
      </c>
      <c r="D8" s="5">
        <f>COUNTIF('2_Token'!$D$7:$AK$7,$A8)</f>
        <v/>
      </c>
      <c r="E8" s="5">
        <f>COUNTIF('2_Token'!$D$8:$AK$8,$A8)</f>
        <v/>
      </c>
      <c r="F8" s="5">
        <f>COUNTIF('2_Token'!$D$9:$AK$9,$A8)</f>
        <v/>
      </c>
      <c r="G8" s="5">
        <f>COUNTIF('2_Token'!$D$10:$AK$10,$A8)</f>
        <v/>
      </c>
      <c r="H8" s="5">
        <f>COUNTIF('2_Token'!$D$11:$AK$11,$A8)</f>
        <v/>
      </c>
      <c r="I8" s="5">
        <f>COUNTIF('2_Token'!$D$12:$AK$12,$A8)</f>
        <v/>
      </c>
      <c r="J8" s="5">
        <f>COUNTIF('2_Token'!$D$13:$AK$13,$A8)</f>
        <v/>
      </c>
      <c r="K8" s="5">
        <f>COUNTIF('2_Token'!$D$14:$AK$14,$A8)</f>
        <v/>
      </c>
      <c r="L8" s="5">
        <f>COUNTIF('2_Token'!$D$15:$AK$15,$A8)</f>
        <v/>
      </c>
      <c r="M8" s="5">
        <f>COUNTIF('2_Token'!$D$16:$AK$16,$A8)</f>
        <v/>
      </c>
      <c r="N8" s="5">
        <f>SUM(B8:M8)</f>
        <v/>
      </c>
    </row>
    <row r="9">
      <c r="A9" s="6" t="inlineStr">
        <is>
          <t>alat</t>
        </is>
      </c>
      <c r="B9" s="5">
        <f>COUNTIF('2_Token'!$D$5:$AK$5,$A9)</f>
        <v/>
      </c>
      <c r="C9" s="5">
        <f>COUNTIF('2_Token'!$D$6:$AK$6,$A9)</f>
        <v/>
      </c>
      <c r="D9" s="5">
        <f>COUNTIF('2_Token'!$D$7:$AK$7,$A9)</f>
        <v/>
      </c>
      <c r="E9" s="5">
        <f>COUNTIF('2_Token'!$D$8:$AK$8,$A9)</f>
        <v/>
      </c>
      <c r="F9" s="5">
        <f>COUNTIF('2_Token'!$D$9:$AK$9,$A9)</f>
        <v/>
      </c>
      <c r="G9" s="5">
        <f>COUNTIF('2_Token'!$D$10:$AK$10,$A9)</f>
        <v/>
      </c>
      <c r="H9" s="5">
        <f>COUNTIF('2_Token'!$D$11:$AK$11,$A9)</f>
        <v/>
      </c>
      <c r="I9" s="5">
        <f>COUNTIF('2_Token'!$D$12:$AK$12,$A9)</f>
        <v/>
      </c>
      <c r="J9" s="5">
        <f>COUNTIF('2_Token'!$D$13:$AK$13,$A9)</f>
        <v/>
      </c>
      <c r="K9" s="5">
        <f>COUNTIF('2_Token'!$D$14:$AK$14,$A9)</f>
        <v/>
      </c>
      <c r="L9" s="5">
        <f>COUNTIF('2_Token'!$D$15:$AK$15,$A9)</f>
        <v/>
      </c>
      <c r="M9" s="5">
        <f>COUNTIF('2_Token'!$D$16:$AK$16,$A9)</f>
        <v/>
      </c>
      <c r="N9" s="5">
        <f>SUM(B9:M9)</f>
        <v/>
      </c>
    </row>
    <row r="10">
      <c r="A10" s="6" t="inlineStr">
        <is>
          <t>anak</t>
        </is>
      </c>
      <c r="B10" s="5">
        <f>COUNTIF('2_Token'!$D$5:$AK$5,$A10)</f>
        <v/>
      </c>
      <c r="C10" s="5">
        <f>COUNTIF('2_Token'!$D$6:$AK$6,$A10)</f>
        <v/>
      </c>
      <c r="D10" s="5">
        <f>COUNTIF('2_Token'!$D$7:$AK$7,$A10)</f>
        <v/>
      </c>
      <c r="E10" s="5">
        <f>COUNTIF('2_Token'!$D$8:$AK$8,$A10)</f>
        <v/>
      </c>
      <c r="F10" s="5">
        <f>COUNTIF('2_Token'!$D$9:$AK$9,$A10)</f>
        <v/>
      </c>
      <c r="G10" s="5">
        <f>COUNTIF('2_Token'!$D$10:$AK$10,$A10)</f>
        <v/>
      </c>
      <c r="H10" s="5">
        <f>COUNTIF('2_Token'!$D$11:$AK$11,$A10)</f>
        <v/>
      </c>
      <c r="I10" s="5">
        <f>COUNTIF('2_Token'!$D$12:$AK$12,$A10)</f>
        <v/>
      </c>
      <c r="J10" s="5">
        <f>COUNTIF('2_Token'!$D$13:$AK$13,$A10)</f>
        <v/>
      </c>
      <c r="K10" s="5">
        <f>COUNTIF('2_Token'!$D$14:$AK$14,$A10)</f>
        <v/>
      </c>
      <c r="L10" s="5">
        <f>COUNTIF('2_Token'!$D$15:$AK$15,$A10)</f>
        <v/>
      </c>
      <c r="M10" s="5">
        <f>COUNTIF('2_Token'!$D$16:$AK$16,$A10)</f>
        <v/>
      </c>
      <c r="N10" s="5">
        <f>SUM(B10:M10)</f>
        <v/>
      </c>
    </row>
    <row r="11">
      <c r="A11" s="6" t="inlineStr">
        <is>
          <t>angkat</t>
        </is>
      </c>
      <c r="B11" s="5">
        <f>COUNTIF('2_Token'!$D$5:$AK$5,$A11)</f>
        <v/>
      </c>
      <c r="C11" s="5">
        <f>COUNTIF('2_Token'!$D$6:$AK$6,$A11)</f>
        <v/>
      </c>
      <c r="D11" s="5">
        <f>COUNTIF('2_Token'!$D$7:$AK$7,$A11)</f>
        <v/>
      </c>
      <c r="E11" s="5">
        <f>COUNTIF('2_Token'!$D$8:$AK$8,$A11)</f>
        <v/>
      </c>
      <c r="F11" s="5">
        <f>COUNTIF('2_Token'!$D$9:$AK$9,$A11)</f>
        <v/>
      </c>
      <c r="G11" s="5">
        <f>COUNTIF('2_Token'!$D$10:$AK$10,$A11)</f>
        <v/>
      </c>
      <c r="H11" s="5">
        <f>COUNTIF('2_Token'!$D$11:$AK$11,$A11)</f>
        <v/>
      </c>
      <c r="I11" s="5">
        <f>COUNTIF('2_Token'!$D$12:$AK$12,$A11)</f>
        <v/>
      </c>
      <c r="J11" s="5">
        <f>COUNTIF('2_Token'!$D$13:$AK$13,$A11)</f>
        <v/>
      </c>
      <c r="K11" s="5">
        <f>COUNTIF('2_Token'!$D$14:$AK$14,$A11)</f>
        <v/>
      </c>
      <c r="L11" s="5">
        <f>COUNTIF('2_Token'!$D$15:$AK$15,$A11)</f>
        <v/>
      </c>
      <c r="M11" s="5">
        <f>COUNTIF('2_Token'!$D$16:$AK$16,$A11)</f>
        <v/>
      </c>
      <c r="N11" s="5">
        <f>SUM(B11:M11)</f>
        <v/>
      </c>
    </row>
    <row r="12">
      <c r="A12" s="6" t="inlineStr">
        <is>
          <t>angkut</t>
        </is>
      </c>
      <c r="B12" s="5">
        <f>COUNTIF('2_Token'!$D$5:$AK$5,$A12)</f>
        <v/>
      </c>
      <c r="C12" s="5">
        <f>COUNTIF('2_Token'!$D$6:$AK$6,$A12)</f>
        <v/>
      </c>
      <c r="D12" s="5">
        <f>COUNTIF('2_Token'!$D$7:$AK$7,$A12)</f>
        <v/>
      </c>
      <c r="E12" s="5">
        <f>COUNTIF('2_Token'!$D$8:$AK$8,$A12)</f>
        <v/>
      </c>
      <c r="F12" s="5">
        <f>COUNTIF('2_Token'!$D$9:$AK$9,$A12)</f>
        <v/>
      </c>
      <c r="G12" s="5">
        <f>COUNTIF('2_Token'!$D$10:$AK$10,$A12)</f>
        <v/>
      </c>
      <c r="H12" s="5">
        <f>COUNTIF('2_Token'!$D$11:$AK$11,$A12)</f>
        <v/>
      </c>
      <c r="I12" s="5">
        <f>COUNTIF('2_Token'!$D$12:$AK$12,$A12)</f>
        <v/>
      </c>
      <c r="J12" s="5">
        <f>COUNTIF('2_Token'!$D$13:$AK$13,$A12)</f>
        <v/>
      </c>
      <c r="K12" s="5">
        <f>COUNTIF('2_Token'!$D$14:$AK$14,$A12)</f>
        <v/>
      </c>
      <c r="L12" s="5">
        <f>COUNTIF('2_Token'!$D$15:$AK$15,$A12)</f>
        <v/>
      </c>
      <c r="M12" s="5">
        <f>COUNTIF('2_Token'!$D$16:$AK$16,$A12)</f>
        <v/>
      </c>
      <c r="N12" s="5">
        <f>SUM(B12:M12)</f>
        <v/>
      </c>
    </row>
    <row r="13">
      <c r="A13" s="6" t="inlineStr">
        <is>
          <t>anyar</t>
        </is>
      </c>
      <c r="B13" s="5">
        <f>COUNTIF('2_Token'!$D$5:$AK$5,$A13)</f>
        <v/>
      </c>
      <c r="C13" s="5">
        <f>COUNTIF('2_Token'!$D$6:$AK$6,$A13)</f>
        <v/>
      </c>
      <c r="D13" s="5">
        <f>COUNTIF('2_Token'!$D$7:$AK$7,$A13)</f>
        <v/>
      </c>
      <c r="E13" s="5">
        <f>COUNTIF('2_Token'!$D$8:$AK$8,$A13)</f>
        <v/>
      </c>
      <c r="F13" s="5">
        <f>COUNTIF('2_Token'!$D$9:$AK$9,$A13)</f>
        <v/>
      </c>
      <c r="G13" s="5">
        <f>COUNTIF('2_Token'!$D$10:$AK$10,$A13)</f>
        <v/>
      </c>
      <c r="H13" s="5">
        <f>COUNTIF('2_Token'!$D$11:$AK$11,$A13)</f>
        <v/>
      </c>
      <c r="I13" s="5">
        <f>COUNTIF('2_Token'!$D$12:$AK$12,$A13)</f>
        <v/>
      </c>
      <c r="J13" s="5">
        <f>COUNTIF('2_Token'!$D$13:$AK$13,$A13)</f>
        <v/>
      </c>
      <c r="K13" s="5">
        <f>COUNTIF('2_Token'!$D$14:$AK$14,$A13)</f>
        <v/>
      </c>
      <c r="L13" s="5">
        <f>COUNTIF('2_Token'!$D$15:$AK$15,$A13)</f>
        <v/>
      </c>
      <c r="M13" s="5">
        <f>COUNTIF('2_Token'!$D$16:$AK$16,$A13)</f>
        <v/>
      </c>
      <c r="N13" s="5">
        <f>SUM(B13:M13)</f>
        <v/>
      </c>
    </row>
    <row r="14">
      <c r="A14" s="6" t="inlineStr">
        <is>
          <t>apa</t>
        </is>
      </c>
      <c r="B14" s="5">
        <f>COUNTIF('2_Token'!$D$5:$AK$5,$A14)</f>
        <v/>
      </c>
      <c r="C14" s="5">
        <f>COUNTIF('2_Token'!$D$6:$AK$6,$A14)</f>
        <v/>
      </c>
      <c r="D14" s="5">
        <f>COUNTIF('2_Token'!$D$7:$AK$7,$A14)</f>
        <v/>
      </c>
      <c r="E14" s="5">
        <f>COUNTIF('2_Token'!$D$8:$AK$8,$A14)</f>
        <v/>
      </c>
      <c r="F14" s="5">
        <f>COUNTIF('2_Token'!$D$9:$AK$9,$A14)</f>
        <v/>
      </c>
      <c r="G14" s="5">
        <f>COUNTIF('2_Token'!$D$10:$AK$10,$A14)</f>
        <v/>
      </c>
      <c r="H14" s="5">
        <f>COUNTIF('2_Token'!$D$11:$AK$11,$A14)</f>
        <v/>
      </c>
      <c r="I14" s="5">
        <f>COUNTIF('2_Token'!$D$12:$AK$12,$A14)</f>
        <v/>
      </c>
      <c r="J14" s="5">
        <f>COUNTIF('2_Token'!$D$13:$AK$13,$A14)</f>
        <v/>
      </c>
      <c r="K14" s="5">
        <f>COUNTIF('2_Token'!$D$14:$AK$14,$A14)</f>
        <v/>
      </c>
      <c r="L14" s="5">
        <f>COUNTIF('2_Token'!$D$15:$AK$15,$A14)</f>
        <v/>
      </c>
      <c r="M14" s="5">
        <f>COUNTIF('2_Token'!$D$16:$AK$16,$A14)</f>
        <v/>
      </c>
      <c r="N14" s="5">
        <f>SUM(B14:M14)</f>
        <v/>
      </c>
    </row>
    <row r="15">
      <c r="A15" s="6" t="inlineStr">
        <is>
          <t>area</t>
        </is>
      </c>
      <c r="B15" s="5">
        <f>COUNTIF('2_Token'!$D$5:$AK$5,$A15)</f>
        <v/>
      </c>
      <c r="C15" s="5">
        <f>COUNTIF('2_Token'!$D$6:$AK$6,$A15)</f>
        <v/>
      </c>
      <c r="D15" s="5">
        <f>COUNTIF('2_Token'!$D$7:$AK$7,$A15)</f>
        <v/>
      </c>
      <c r="E15" s="5">
        <f>COUNTIF('2_Token'!$D$8:$AK$8,$A15)</f>
        <v/>
      </c>
      <c r="F15" s="5">
        <f>COUNTIF('2_Token'!$D$9:$AK$9,$A15)</f>
        <v/>
      </c>
      <c r="G15" s="5">
        <f>COUNTIF('2_Token'!$D$10:$AK$10,$A15)</f>
        <v/>
      </c>
      <c r="H15" s="5">
        <f>COUNTIF('2_Token'!$D$11:$AK$11,$A15)</f>
        <v/>
      </c>
      <c r="I15" s="5">
        <f>COUNTIF('2_Token'!$D$12:$AK$12,$A15)</f>
        <v/>
      </c>
      <c r="J15" s="5">
        <f>COUNTIF('2_Token'!$D$13:$AK$13,$A15)</f>
        <v/>
      </c>
      <c r="K15" s="5">
        <f>COUNTIF('2_Token'!$D$14:$AK$14,$A15)</f>
        <v/>
      </c>
      <c r="L15" s="5">
        <f>COUNTIF('2_Token'!$D$15:$AK$15,$A15)</f>
        <v/>
      </c>
      <c r="M15" s="5">
        <f>COUNTIF('2_Token'!$D$16:$AK$16,$A15)</f>
        <v/>
      </c>
      <c r="N15" s="5">
        <f>SUM(B15:M15)</f>
        <v/>
      </c>
    </row>
    <row r="16">
      <c r="A16" s="6" t="inlineStr">
        <is>
          <t>atraksi</t>
        </is>
      </c>
      <c r="B16" s="5">
        <f>COUNTIF('2_Token'!$D$5:$AK$5,$A16)</f>
        <v/>
      </c>
      <c r="C16" s="5">
        <f>COUNTIF('2_Token'!$D$6:$AK$6,$A16)</f>
        <v/>
      </c>
      <c r="D16" s="5">
        <f>COUNTIF('2_Token'!$D$7:$AK$7,$A16)</f>
        <v/>
      </c>
      <c r="E16" s="5">
        <f>COUNTIF('2_Token'!$D$8:$AK$8,$A16)</f>
        <v/>
      </c>
      <c r="F16" s="5">
        <f>COUNTIF('2_Token'!$D$9:$AK$9,$A16)</f>
        <v/>
      </c>
      <c r="G16" s="5">
        <f>COUNTIF('2_Token'!$D$10:$AK$10,$A16)</f>
        <v/>
      </c>
      <c r="H16" s="5">
        <f>COUNTIF('2_Token'!$D$11:$AK$11,$A16)</f>
        <v/>
      </c>
      <c r="I16" s="5">
        <f>COUNTIF('2_Token'!$D$12:$AK$12,$A16)</f>
        <v/>
      </c>
      <c r="J16" s="5">
        <f>COUNTIF('2_Token'!$D$13:$AK$13,$A16)</f>
        <v/>
      </c>
      <c r="K16" s="5">
        <f>COUNTIF('2_Token'!$D$14:$AK$14,$A16)</f>
        <v/>
      </c>
      <c r="L16" s="5">
        <f>COUNTIF('2_Token'!$D$15:$AK$15,$A16)</f>
        <v/>
      </c>
      <c r="M16" s="5">
        <f>COUNTIF('2_Token'!$D$16:$AK$16,$A16)</f>
        <v/>
      </c>
      <c r="N16" s="5">
        <f>SUM(B16:M16)</f>
        <v/>
      </c>
    </row>
    <row r="17">
      <c r="A17" s="6" t="inlineStr">
        <is>
          <t>award</t>
        </is>
      </c>
      <c r="B17" s="5">
        <f>COUNTIF('2_Token'!$D$5:$AK$5,$A17)</f>
        <v/>
      </c>
      <c r="C17" s="5">
        <f>COUNTIF('2_Token'!$D$6:$AK$6,$A17)</f>
        <v/>
      </c>
      <c r="D17" s="5">
        <f>COUNTIF('2_Token'!$D$7:$AK$7,$A17)</f>
        <v/>
      </c>
      <c r="E17" s="5">
        <f>COUNTIF('2_Token'!$D$8:$AK$8,$A17)</f>
        <v/>
      </c>
      <c r="F17" s="5">
        <f>COUNTIF('2_Token'!$D$9:$AK$9,$A17)</f>
        <v/>
      </c>
      <c r="G17" s="5">
        <f>COUNTIF('2_Token'!$D$10:$AK$10,$A17)</f>
        <v/>
      </c>
      <c r="H17" s="5">
        <f>COUNTIF('2_Token'!$D$11:$AK$11,$A17)</f>
        <v/>
      </c>
      <c r="I17" s="5">
        <f>COUNTIF('2_Token'!$D$12:$AK$12,$A17)</f>
        <v/>
      </c>
      <c r="J17" s="5">
        <f>COUNTIF('2_Token'!$D$13:$AK$13,$A17)</f>
        <v/>
      </c>
      <c r="K17" s="5">
        <f>COUNTIF('2_Token'!$D$14:$AK$14,$A17)</f>
        <v/>
      </c>
      <c r="L17" s="5">
        <f>COUNTIF('2_Token'!$D$15:$AK$15,$A17)</f>
        <v/>
      </c>
      <c r="M17" s="5">
        <f>COUNTIF('2_Token'!$D$16:$AK$16,$A17)</f>
        <v/>
      </c>
      <c r="N17" s="5">
        <f>SUM(B17:M17)</f>
        <v/>
      </c>
    </row>
    <row r="18">
      <c r="A18" s="6" t="inlineStr">
        <is>
          <t>bajo</t>
        </is>
      </c>
      <c r="B18" s="5">
        <f>COUNTIF('2_Token'!$D$5:$AK$5,$A18)</f>
        <v/>
      </c>
      <c r="C18" s="5">
        <f>COUNTIF('2_Token'!$D$6:$AK$6,$A18)</f>
        <v/>
      </c>
      <c r="D18" s="5">
        <f>COUNTIF('2_Token'!$D$7:$AK$7,$A18)</f>
        <v/>
      </c>
      <c r="E18" s="5">
        <f>COUNTIF('2_Token'!$D$8:$AK$8,$A18)</f>
        <v/>
      </c>
      <c r="F18" s="5">
        <f>COUNTIF('2_Token'!$D$9:$AK$9,$A18)</f>
        <v/>
      </c>
      <c r="G18" s="5">
        <f>COUNTIF('2_Token'!$D$10:$AK$10,$A18)</f>
        <v/>
      </c>
      <c r="H18" s="5">
        <f>COUNTIF('2_Token'!$D$11:$AK$11,$A18)</f>
        <v/>
      </c>
      <c r="I18" s="5">
        <f>COUNTIF('2_Token'!$D$12:$AK$12,$A18)</f>
        <v/>
      </c>
      <c r="J18" s="5">
        <f>COUNTIF('2_Token'!$D$13:$AK$13,$A18)</f>
        <v/>
      </c>
      <c r="K18" s="5">
        <f>COUNTIF('2_Token'!$D$14:$AK$14,$A18)</f>
        <v/>
      </c>
      <c r="L18" s="5">
        <f>COUNTIF('2_Token'!$D$15:$AK$15,$A18)</f>
        <v/>
      </c>
      <c r="M18" s="5">
        <f>COUNTIF('2_Token'!$D$16:$AK$16,$A18)</f>
        <v/>
      </c>
      <c r="N18" s="5">
        <f>SUM(B18:M18)</f>
        <v/>
      </c>
    </row>
    <row r="19">
      <c r="A19" s="6" t="inlineStr">
        <is>
          <t>bak</t>
        </is>
      </c>
      <c r="B19" s="5">
        <f>COUNTIF('2_Token'!$D$5:$AK$5,$A19)</f>
        <v/>
      </c>
      <c r="C19" s="5">
        <f>COUNTIF('2_Token'!$D$6:$AK$6,$A19)</f>
        <v/>
      </c>
      <c r="D19" s="5">
        <f>COUNTIF('2_Token'!$D$7:$AK$7,$A19)</f>
        <v/>
      </c>
      <c r="E19" s="5">
        <f>COUNTIF('2_Token'!$D$8:$AK$8,$A19)</f>
        <v/>
      </c>
      <c r="F19" s="5">
        <f>COUNTIF('2_Token'!$D$9:$AK$9,$A19)</f>
        <v/>
      </c>
      <c r="G19" s="5">
        <f>COUNTIF('2_Token'!$D$10:$AK$10,$A19)</f>
        <v/>
      </c>
      <c r="H19" s="5">
        <f>COUNTIF('2_Token'!$D$11:$AK$11,$A19)</f>
        <v/>
      </c>
      <c r="I19" s="5">
        <f>COUNTIF('2_Token'!$D$12:$AK$12,$A19)</f>
        <v/>
      </c>
      <c r="J19" s="5">
        <f>COUNTIF('2_Token'!$D$13:$AK$13,$A19)</f>
        <v/>
      </c>
      <c r="K19" s="5">
        <f>COUNTIF('2_Token'!$D$14:$AK$14,$A19)</f>
        <v/>
      </c>
      <c r="L19" s="5">
        <f>COUNTIF('2_Token'!$D$15:$AK$15,$A19)</f>
        <v/>
      </c>
      <c r="M19" s="5">
        <f>COUNTIF('2_Token'!$D$16:$AK$16,$A19)</f>
        <v/>
      </c>
      <c r="N19" s="5">
        <f>SUM(B19:M19)</f>
        <v/>
      </c>
    </row>
    <row r="20">
      <c r="A20" s="6" t="inlineStr">
        <is>
          <t>balindra</t>
        </is>
      </c>
      <c r="B20" s="5">
        <f>COUNTIF('2_Token'!$D$5:$AK$5,$A20)</f>
        <v/>
      </c>
      <c r="C20" s="5">
        <f>COUNTIF('2_Token'!$D$6:$AK$6,$A20)</f>
        <v/>
      </c>
      <c r="D20" s="5">
        <f>COUNTIF('2_Token'!$D$7:$AK$7,$A20)</f>
        <v/>
      </c>
      <c r="E20" s="5">
        <f>COUNTIF('2_Token'!$D$8:$AK$8,$A20)</f>
        <v/>
      </c>
      <c r="F20" s="5">
        <f>COUNTIF('2_Token'!$D$9:$AK$9,$A20)</f>
        <v/>
      </c>
      <c r="G20" s="5">
        <f>COUNTIF('2_Token'!$D$10:$AK$10,$A20)</f>
        <v/>
      </c>
      <c r="H20" s="5">
        <f>COUNTIF('2_Token'!$D$11:$AK$11,$A20)</f>
        <v/>
      </c>
      <c r="I20" s="5">
        <f>COUNTIF('2_Token'!$D$12:$AK$12,$A20)</f>
        <v/>
      </c>
      <c r="J20" s="5">
        <f>COUNTIF('2_Token'!$D$13:$AK$13,$A20)</f>
        <v/>
      </c>
      <c r="K20" s="5">
        <f>COUNTIF('2_Token'!$D$14:$AK$14,$A20)</f>
        <v/>
      </c>
      <c r="L20" s="5">
        <f>COUNTIF('2_Token'!$D$15:$AK$15,$A20)</f>
        <v/>
      </c>
      <c r="M20" s="5">
        <f>COUNTIF('2_Token'!$D$16:$AK$16,$A20)</f>
        <v/>
      </c>
      <c r="N20" s="5">
        <f>SUM(B20:M20)</f>
        <v/>
      </c>
    </row>
    <row r="21">
      <c r="A21" s="6" t="inlineStr">
        <is>
          <t>bangka</t>
        </is>
      </c>
      <c r="B21" s="5">
        <f>COUNTIF('2_Token'!$D$5:$AK$5,$A21)</f>
        <v/>
      </c>
      <c r="C21" s="5">
        <f>COUNTIF('2_Token'!$D$6:$AK$6,$A21)</f>
        <v/>
      </c>
      <c r="D21" s="5">
        <f>COUNTIF('2_Token'!$D$7:$AK$7,$A21)</f>
        <v/>
      </c>
      <c r="E21" s="5">
        <f>COUNTIF('2_Token'!$D$8:$AK$8,$A21)</f>
        <v/>
      </c>
      <c r="F21" s="5">
        <f>COUNTIF('2_Token'!$D$9:$AK$9,$A21)</f>
        <v/>
      </c>
      <c r="G21" s="5">
        <f>COUNTIF('2_Token'!$D$10:$AK$10,$A21)</f>
        <v/>
      </c>
      <c r="H21" s="5">
        <f>COUNTIF('2_Token'!$D$11:$AK$11,$A21)</f>
        <v/>
      </c>
      <c r="I21" s="5">
        <f>COUNTIF('2_Token'!$D$12:$AK$12,$A21)</f>
        <v/>
      </c>
      <c r="J21" s="5">
        <f>COUNTIF('2_Token'!$D$13:$AK$13,$A21)</f>
        <v/>
      </c>
      <c r="K21" s="5">
        <f>COUNTIF('2_Token'!$D$14:$AK$14,$A21)</f>
        <v/>
      </c>
      <c r="L21" s="5">
        <f>COUNTIF('2_Token'!$D$15:$AK$15,$A21)</f>
        <v/>
      </c>
      <c r="M21" s="5">
        <f>COUNTIF('2_Token'!$D$16:$AK$16,$A21)</f>
        <v/>
      </c>
      <c r="N21" s="5">
        <f>SUM(B21:M21)</f>
        <v/>
      </c>
    </row>
    <row r="22">
      <c r="A22" s="6" t="inlineStr">
        <is>
          <t>bangun</t>
        </is>
      </c>
      <c r="B22" s="5">
        <f>COUNTIF('2_Token'!$D$5:$AK$5,$A22)</f>
        <v/>
      </c>
      <c r="C22" s="5">
        <f>COUNTIF('2_Token'!$D$6:$AK$6,$A22)</f>
        <v/>
      </c>
      <c r="D22" s="5">
        <f>COUNTIF('2_Token'!$D$7:$AK$7,$A22)</f>
        <v/>
      </c>
      <c r="E22" s="5">
        <f>COUNTIF('2_Token'!$D$8:$AK$8,$A22)</f>
        <v/>
      </c>
      <c r="F22" s="5">
        <f>COUNTIF('2_Token'!$D$9:$AK$9,$A22)</f>
        <v/>
      </c>
      <c r="G22" s="5">
        <f>COUNTIF('2_Token'!$D$10:$AK$10,$A22)</f>
        <v/>
      </c>
      <c r="H22" s="5">
        <f>COUNTIF('2_Token'!$D$11:$AK$11,$A22)</f>
        <v/>
      </c>
      <c r="I22" s="5">
        <f>COUNTIF('2_Token'!$D$12:$AK$12,$A22)</f>
        <v/>
      </c>
      <c r="J22" s="5">
        <f>COUNTIF('2_Token'!$D$13:$AK$13,$A22)</f>
        <v/>
      </c>
      <c r="K22" s="5">
        <f>COUNTIF('2_Token'!$D$14:$AK$14,$A22)</f>
        <v/>
      </c>
      <c r="L22" s="5">
        <f>COUNTIF('2_Token'!$D$15:$AK$15,$A22)</f>
        <v/>
      </c>
      <c r="M22" s="5">
        <f>COUNTIF('2_Token'!$D$16:$AK$16,$A22)</f>
        <v/>
      </c>
      <c r="N22" s="5">
        <f>SUM(B22:M22)</f>
        <v/>
      </c>
    </row>
    <row r="23">
      <c r="A23" s="6" t="inlineStr">
        <is>
          <t>banjir</t>
        </is>
      </c>
      <c r="B23" s="5">
        <f>COUNTIF('2_Token'!$D$5:$AK$5,$A23)</f>
        <v/>
      </c>
      <c r="C23" s="5">
        <f>COUNTIF('2_Token'!$D$6:$AK$6,$A23)</f>
        <v/>
      </c>
      <c r="D23" s="5">
        <f>COUNTIF('2_Token'!$D$7:$AK$7,$A23)</f>
        <v/>
      </c>
      <c r="E23" s="5">
        <f>COUNTIF('2_Token'!$D$8:$AK$8,$A23)</f>
        <v/>
      </c>
      <c r="F23" s="5">
        <f>COUNTIF('2_Token'!$D$9:$AK$9,$A23)</f>
        <v/>
      </c>
      <c r="G23" s="5">
        <f>COUNTIF('2_Token'!$D$10:$AK$10,$A23)</f>
        <v/>
      </c>
      <c r="H23" s="5">
        <f>COUNTIF('2_Token'!$D$11:$AK$11,$A23)</f>
        <v/>
      </c>
      <c r="I23" s="5">
        <f>COUNTIF('2_Token'!$D$12:$AK$12,$A23)</f>
        <v/>
      </c>
      <c r="J23" s="5">
        <f>COUNTIF('2_Token'!$D$13:$AK$13,$A23)</f>
        <v/>
      </c>
      <c r="K23" s="5">
        <f>COUNTIF('2_Token'!$D$14:$AK$14,$A23)</f>
        <v/>
      </c>
      <c r="L23" s="5">
        <f>COUNTIF('2_Token'!$D$15:$AK$15,$A23)</f>
        <v/>
      </c>
      <c r="M23" s="5">
        <f>COUNTIF('2_Token'!$D$16:$AK$16,$A23)</f>
        <v/>
      </c>
      <c r="N23" s="5">
        <f>SUM(B23:M23)</f>
        <v/>
      </c>
    </row>
    <row r="24">
      <c r="A24" s="6" t="inlineStr">
        <is>
          <t>banyak</t>
        </is>
      </c>
      <c r="B24" s="5">
        <f>COUNTIF('2_Token'!$D$5:$AK$5,$A24)</f>
        <v/>
      </c>
      <c r="C24" s="5">
        <f>COUNTIF('2_Token'!$D$6:$AK$6,$A24)</f>
        <v/>
      </c>
      <c r="D24" s="5">
        <f>COUNTIF('2_Token'!$D$7:$AK$7,$A24)</f>
        <v/>
      </c>
      <c r="E24" s="5">
        <f>COUNTIF('2_Token'!$D$8:$AK$8,$A24)</f>
        <v/>
      </c>
      <c r="F24" s="5">
        <f>COUNTIF('2_Token'!$D$9:$AK$9,$A24)</f>
        <v/>
      </c>
      <c r="G24" s="5">
        <f>COUNTIF('2_Token'!$D$10:$AK$10,$A24)</f>
        <v/>
      </c>
      <c r="H24" s="5">
        <f>COUNTIF('2_Token'!$D$11:$AK$11,$A24)</f>
        <v/>
      </c>
      <c r="I24" s="5">
        <f>COUNTIF('2_Token'!$D$12:$AK$12,$A24)</f>
        <v/>
      </c>
      <c r="J24" s="5">
        <f>COUNTIF('2_Token'!$D$13:$AK$13,$A24)</f>
        <v/>
      </c>
      <c r="K24" s="5">
        <f>COUNTIF('2_Token'!$D$14:$AK$14,$A24)</f>
        <v/>
      </c>
      <c r="L24" s="5">
        <f>COUNTIF('2_Token'!$D$15:$AK$15,$A24)</f>
        <v/>
      </c>
      <c r="M24" s="5">
        <f>COUNTIF('2_Token'!$D$16:$AK$16,$A24)</f>
        <v/>
      </c>
      <c r="N24" s="5">
        <f>SUM(B24:M24)</f>
        <v/>
      </c>
    </row>
    <row r="25">
      <c r="A25" s="6" t="inlineStr">
        <is>
          <t>bappeda</t>
        </is>
      </c>
      <c r="B25" s="5">
        <f>COUNTIF('2_Token'!$D$5:$AK$5,$A25)</f>
        <v/>
      </c>
      <c r="C25" s="5">
        <f>COUNTIF('2_Token'!$D$6:$AK$6,$A25)</f>
        <v/>
      </c>
      <c r="D25" s="5">
        <f>COUNTIF('2_Token'!$D$7:$AK$7,$A25)</f>
        <v/>
      </c>
      <c r="E25" s="5">
        <f>COUNTIF('2_Token'!$D$8:$AK$8,$A25)</f>
        <v/>
      </c>
      <c r="F25" s="5">
        <f>COUNTIF('2_Token'!$D$9:$AK$9,$A25)</f>
        <v/>
      </c>
      <c r="G25" s="5">
        <f>COUNTIF('2_Token'!$D$10:$AK$10,$A25)</f>
        <v/>
      </c>
      <c r="H25" s="5">
        <f>COUNTIF('2_Token'!$D$11:$AK$11,$A25)</f>
        <v/>
      </c>
      <c r="I25" s="5">
        <f>COUNTIF('2_Token'!$D$12:$AK$12,$A25)</f>
        <v/>
      </c>
      <c r="J25" s="5">
        <f>COUNTIF('2_Token'!$D$13:$AK$13,$A25)</f>
        <v/>
      </c>
      <c r="K25" s="5">
        <f>COUNTIF('2_Token'!$D$14:$AK$14,$A25)</f>
        <v/>
      </c>
      <c r="L25" s="5">
        <f>COUNTIF('2_Token'!$D$15:$AK$15,$A25)</f>
        <v/>
      </c>
      <c r="M25" s="5">
        <f>COUNTIF('2_Token'!$D$16:$AK$16,$A25)</f>
        <v/>
      </c>
      <c r="N25" s="5">
        <f>SUM(B25:M25)</f>
        <v/>
      </c>
    </row>
    <row r="26">
      <c r="A26" s="6" t="inlineStr">
        <is>
          <t>bekal</t>
        </is>
      </c>
      <c r="B26" s="5">
        <f>COUNTIF('2_Token'!$D$5:$AK$5,$A26)</f>
        <v/>
      </c>
      <c r="C26" s="5">
        <f>COUNTIF('2_Token'!$D$6:$AK$6,$A26)</f>
        <v/>
      </c>
      <c r="D26" s="5">
        <f>COUNTIF('2_Token'!$D$7:$AK$7,$A26)</f>
        <v/>
      </c>
      <c r="E26" s="5">
        <f>COUNTIF('2_Token'!$D$8:$AK$8,$A26)</f>
        <v/>
      </c>
      <c r="F26" s="5">
        <f>COUNTIF('2_Token'!$D$9:$AK$9,$A26)</f>
        <v/>
      </c>
      <c r="G26" s="5">
        <f>COUNTIF('2_Token'!$D$10:$AK$10,$A26)</f>
        <v/>
      </c>
      <c r="H26" s="5">
        <f>COUNTIF('2_Token'!$D$11:$AK$11,$A26)</f>
        <v/>
      </c>
      <c r="I26" s="5">
        <f>COUNTIF('2_Token'!$D$12:$AK$12,$A26)</f>
        <v/>
      </c>
      <c r="J26" s="5">
        <f>COUNTIF('2_Token'!$D$13:$AK$13,$A26)</f>
        <v/>
      </c>
      <c r="K26" s="5">
        <f>COUNTIF('2_Token'!$D$14:$AK$14,$A26)</f>
        <v/>
      </c>
      <c r="L26" s="5">
        <f>COUNTIF('2_Token'!$D$15:$AK$15,$A26)</f>
        <v/>
      </c>
      <c r="M26" s="5">
        <f>COUNTIF('2_Token'!$D$16:$AK$16,$A26)</f>
        <v/>
      </c>
      <c r="N26" s="5">
        <f>SUM(B26:M26)</f>
        <v/>
      </c>
    </row>
    <row r="27">
      <c r="A27" s="6" t="inlineStr">
        <is>
          <t>belah</t>
        </is>
      </c>
      <c r="B27" s="5">
        <f>COUNTIF('2_Token'!$D$5:$AK$5,$A27)</f>
        <v/>
      </c>
      <c r="C27" s="5">
        <f>COUNTIF('2_Token'!$D$6:$AK$6,$A27)</f>
        <v/>
      </c>
      <c r="D27" s="5">
        <f>COUNTIF('2_Token'!$D$7:$AK$7,$A27)</f>
        <v/>
      </c>
      <c r="E27" s="5">
        <f>COUNTIF('2_Token'!$D$8:$AK$8,$A27)</f>
        <v/>
      </c>
      <c r="F27" s="5">
        <f>COUNTIF('2_Token'!$D$9:$AK$9,$A27)</f>
        <v/>
      </c>
      <c r="G27" s="5">
        <f>COUNTIF('2_Token'!$D$10:$AK$10,$A27)</f>
        <v/>
      </c>
      <c r="H27" s="5">
        <f>COUNTIF('2_Token'!$D$11:$AK$11,$A27)</f>
        <v/>
      </c>
      <c r="I27" s="5">
        <f>COUNTIF('2_Token'!$D$12:$AK$12,$A27)</f>
        <v/>
      </c>
      <c r="J27" s="5">
        <f>COUNTIF('2_Token'!$D$13:$AK$13,$A27)</f>
        <v/>
      </c>
      <c r="K27" s="5">
        <f>COUNTIF('2_Token'!$D$14:$AK$14,$A27)</f>
        <v/>
      </c>
      <c r="L27" s="5">
        <f>COUNTIF('2_Token'!$D$15:$AK$15,$A27)</f>
        <v/>
      </c>
      <c r="M27" s="5">
        <f>COUNTIF('2_Token'!$D$16:$AK$16,$A27)</f>
        <v/>
      </c>
      <c r="N27" s="5">
        <f>SUM(B27:M27)</f>
        <v/>
      </c>
    </row>
    <row r="28">
      <c r="A28" s="6" t="inlineStr">
        <is>
          <t>berfungsi</t>
        </is>
      </c>
      <c r="B28" s="5">
        <f>COUNTIF('2_Token'!$D$5:$AK$5,$A28)</f>
        <v/>
      </c>
      <c r="C28" s="5">
        <f>COUNTIF('2_Token'!$D$6:$AK$6,$A28)</f>
        <v/>
      </c>
      <c r="D28" s="5">
        <f>COUNTIF('2_Token'!$D$7:$AK$7,$A28)</f>
        <v/>
      </c>
      <c r="E28" s="5">
        <f>COUNTIF('2_Token'!$D$8:$AK$8,$A28)</f>
        <v/>
      </c>
      <c r="F28" s="5">
        <f>COUNTIF('2_Token'!$D$9:$AK$9,$A28)</f>
        <v/>
      </c>
      <c r="G28" s="5">
        <f>COUNTIF('2_Token'!$D$10:$AK$10,$A28)</f>
        <v/>
      </c>
      <c r="H28" s="5">
        <f>COUNTIF('2_Token'!$D$11:$AK$11,$A28)</f>
        <v/>
      </c>
      <c r="I28" s="5">
        <f>COUNTIF('2_Token'!$D$12:$AK$12,$A28)</f>
        <v/>
      </c>
      <c r="J28" s="5">
        <f>COUNTIF('2_Token'!$D$13:$AK$13,$A28)</f>
        <v/>
      </c>
      <c r="K28" s="5">
        <f>COUNTIF('2_Token'!$D$14:$AK$14,$A28)</f>
        <v/>
      </c>
      <c r="L28" s="5">
        <f>COUNTIF('2_Token'!$D$15:$AK$15,$A28)</f>
        <v/>
      </c>
      <c r="M28" s="5">
        <f>COUNTIF('2_Token'!$D$16:$AK$16,$A28)</f>
        <v/>
      </c>
      <c r="N28" s="5">
        <f>SUM(B28:M28)</f>
        <v/>
      </c>
    </row>
    <row r="29">
      <c r="A29" s="6" t="inlineStr">
        <is>
          <t>berkelanjutan</t>
        </is>
      </c>
      <c r="B29" s="5">
        <f>COUNTIF('2_Token'!$D$5:$AK$5,$A29)</f>
        <v/>
      </c>
      <c r="C29" s="5">
        <f>COUNTIF('2_Token'!$D$6:$AK$6,$A29)</f>
        <v/>
      </c>
      <c r="D29" s="5">
        <f>COUNTIF('2_Token'!$D$7:$AK$7,$A29)</f>
        <v/>
      </c>
      <c r="E29" s="5">
        <f>COUNTIF('2_Token'!$D$8:$AK$8,$A29)</f>
        <v/>
      </c>
      <c r="F29" s="5">
        <f>COUNTIF('2_Token'!$D$9:$AK$9,$A29)</f>
        <v/>
      </c>
      <c r="G29" s="5">
        <f>COUNTIF('2_Token'!$D$10:$AK$10,$A29)</f>
        <v/>
      </c>
      <c r="H29" s="5">
        <f>COUNTIF('2_Token'!$D$11:$AK$11,$A29)</f>
        <v/>
      </c>
      <c r="I29" s="5">
        <f>COUNTIF('2_Token'!$D$12:$AK$12,$A29)</f>
        <v/>
      </c>
      <c r="J29" s="5">
        <f>COUNTIF('2_Token'!$D$13:$AK$13,$A29)</f>
        <v/>
      </c>
      <c r="K29" s="5">
        <f>COUNTIF('2_Token'!$D$14:$AK$14,$A29)</f>
        <v/>
      </c>
      <c r="L29" s="5">
        <f>COUNTIF('2_Token'!$D$15:$AK$15,$A29)</f>
        <v/>
      </c>
      <c r="M29" s="5">
        <f>COUNTIF('2_Token'!$D$16:$AK$16,$A29)</f>
        <v/>
      </c>
      <c r="N29" s="5">
        <f>SUM(B29:M29)</f>
        <v/>
      </c>
    </row>
    <row r="30">
      <c r="A30" s="6" t="inlineStr">
        <is>
          <t>berlaku</t>
        </is>
      </c>
      <c r="B30" s="5">
        <f>COUNTIF('2_Token'!$D$5:$AK$5,$A30)</f>
        <v/>
      </c>
      <c r="C30" s="5">
        <f>COUNTIF('2_Token'!$D$6:$AK$6,$A30)</f>
        <v/>
      </c>
      <c r="D30" s="5">
        <f>COUNTIF('2_Token'!$D$7:$AK$7,$A30)</f>
        <v/>
      </c>
      <c r="E30" s="5">
        <f>COUNTIF('2_Token'!$D$8:$AK$8,$A30)</f>
        <v/>
      </c>
      <c r="F30" s="5">
        <f>COUNTIF('2_Token'!$D$9:$AK$9,$A30)</f>
        <v/>
      </c>
      <c r="G30" s="5">
        <f>COUNTIF('2_Token'!$D$10:$AK$10,$A30)</f>
        <v/>
      </c>
      <c r="H30" s="5">
        <f>COUNTIF('2_Token'!$D$11:$AK$11,$A30)</f>
        <v/>
      </c>
      <c r="I30" s="5">
        <f>COUNTIF('2_Token'!$D$12:$AK$12,$A30)</f>
        <v/>
      </c>
      <c r="J30" s="5">
        <f>COUNTIF('2_Token'!$D$13:$AK$13,$A30)</f>
        <v/>
      </c>
      <c r="K30" s="5">
        <f>COUNTIF('2_Token'!$D$14:$AK$14,$A30)</f>
        <v/>
      </c>
      <c r="L30" s="5">
        <f>COUNTIF('2_Token'!$D$15:$AK$15,$A30)</f>
        <v/>
      </c>
      <c r="M30" s="5">
        <f>COUNTIF('2_Token'!$D$16:$AK$16,$A30)</f>
        <v/>
      </c>
      <c r="N30" s="5">
        <f>SUM(B30:M30)</f>
        <v/>
      </c>
    </row>
    <row r="31">
      <c r="A31" s="6" t="inlineStr">
        <is>
          <t>bestari</t>
        </is>
      </c>
      <c r="B31" s="5">
        <f>COUNTIF('2_Token'!$D$5:$AK$5,$A31)</f>
        <v/>
      </c>
      <c r="C31" s="5">
        <f>COUNTIF('2_Token'!$D$6:$AK$6,$A31)</f>
        <v/>
      </c>
      <c r="D31" s="5">
        <f>COUNTIF('2_Token'!$D$7:$AK$7,$A31)</f>
        <v/>
      </c>
      <c r="E31" s="5">
        <f>COUNTIF('2_Token'!$D$8:$AK$8,$A31)</f>
        <v/>
      </c>
      <c r="F31" s="5">
        <f>COUNTIF('2_Token'!$D$9:$AK$9,$A31)</f>
        <v/>
      </c>
      <c r="G31" s="5">
        <f>COUNTIF('2_Token'!$D$10:$AK$10,$A31)</f>
        <v/>
      </c>
      <c r="H31" s="5">
        <f>COUNTIF('2_Token'!$D$11:$AK$11,$A31)</f>
        <v/>
      </c>
      <c r="I31" s="5">
        <f>COUNTIF('2_Token'!$D$12:$AK$12,$A31)</f>
        <v/>
      </c>
      <c r="J31" s="5">
        <f>COUNTIF('2_Token'!$D$13:$AK$13,$A31)</f>
        <v/>
      </c>
      <c r="K31" s="5">
        <f>COUNTIF('2_Token'!$D$14:$AK$14,$A31)</f>
        <v/>
      </c>
      <c r="L31" s="5">
        <f>COUNTIF('2_Token'!$D$15:$AK$15,$A31)</f>
        <v/>
      </c>
      <c r="M31" s="5">
        <f>COUNTIF('2_Token'!$D$16:$AK$16,$A31)</f>
        <v/>
      </c>
      <c r="N31" s="5">
        <f>SUM(B31:M31)</f>
        <v/>
      </c>
    </row>
    <row r="32">
      <c r="A32" s="6" t="inlineStr">
        <is>
          <t>buka</t>
        </is>
      </c>
      <c r="B32" s="5">
        <f>COUNTIF('2_Token'!$D$5:$AK$5,$A32)</f>
        <v/>
      </c>
      <c r="C32" s="5">
        <f>COUNTIF('2_Token'!$D$6:$AK$6,$A32)</f>
        <v/>
      </c>
      <c r="D32" s="5">
        <f>COUNTIF('2_Token'!$D$7:$AK$7,$A32)</f>
        <v/>
      </c>
      <c r="E32" s="5">
        <f>COUNTIF('2_Token'!$D$8:$AK$8,$A32)</f>
        <v/>
      </c>
      <c r="F32" s="5">
        <f>COUNTIF('2_Token'!$D$9:$AK$9,$A32)</f>
        <v/>
      </c>
      <c r="G32" s="5">
        <f>COUNTIF('2_Token'!$D$10:$AK$10,$A32)</f>
        <v/>
      </c>
      <c r="H32" s="5">
        <f>COUNTIF('2_Token'!$D$11:$AK$11,$A32)</f>
        <v/>
      </c>
      <c r="I32" s="5">
        <f>COUNTIF('2_Token'!$D$12:$AK$12,$A32)</f>
        <v/>
      </c>
      <c r="J32" s="5">
        <f>COUNTIF('2_Token'!$D$13:$AK$13,$A32)</f>
        <v/>
      </c>
      <c r="K32" s="5">
        <f>COUNTIF('2_Token'!$D$14:$AK$14,$A32)</f>
        <v/>
      </c>
      <c r="L32" s="5">
        <f>COUNTIF('2_Token'!$D$15:$AK$15,$A32)</f>
        <v/>
      </c>
      <c r="M32" s="5">
        <f>COUNTIF('2_Token'!$D$16:$AK$16,$A32)</f>
        <v/>
      </c>
      <c r="N32" s="5">
        <f>SUM(B32:M32)</f>
        <v/>
      </c>
    </row>
    <row r="33">
      <c r="A33" s="6" t="inlineStr">
        <is>
          <t>bumn</t>
        </is>
      </c>
      <c r="B33" s="5">
        <f>COUNTIF('2_Token'!$D$5:$AK$5,$A33)</f>
        <v/>
      </c>
      <c r="C33" s="5">
        <f>COUNTIF('2_Token'!$D$6:$AK$6,$A33)</f>
        <v/>
      </c>
      <c r="D33" s="5">
        <f>COUNTIF('2_Token'!$D$7:$AK$7,$A33)</f>
        <v/>
      </c>
      <c r="E33" s="5">
        <f>COUNTIF('2_Token'!$D$8:$AK$8,$A33)</f>
        <v/>
      </c>
      <c r="F33" s="5">
        <f>COUNTIF('2_Token'!$D$9:$AK$9,$A33)</f>
        <v/>
      </c>
      <c r="G33" s="5">
        <f>COUNTIF('2_Token'!$D$10:$AK$10,$A33)</f>
        <v/>
      </c>
      <c r="H33" s="5">
        <f>COUNTIF('2_Token'!$D$11:$AK$11,$A33)</f>
        <v/>
      </c>
      <c r="I33" s="5">
        <f>COUNTIF('2_Token'!$D$12:$AK$12,$A33)</f>
        <v/>
      </c>
      <c r="J33" s="5">
        <f>COUNTIF('2_Token'!$D$13:$AK$13,$A33)</f>
        <v/>
      </c>
      <c r="K33" s="5">
        <f>COUNTIF('2_Token'!$D$14:$AK$14,$A33)</f>
        <v/>
      </c>
      <c r="L33" s="5">
        <f>COUNTIF('2_Token'!$D$15:$AK$15,$A33)</f>
        <v/>
      </c>
      <c r="M33" s="5">
        <f>COUNTIF('2_Token'!$D$16:$AK$16,$A33)</f>
        <v/>
      </c>
      <c r="N33" s="5">
        <f>SUM(B33:M33)</f>
        <v/>
      </c>
    </row>
    <row r="34">
      <c r="A34" s="6" t="inlineStr">
        <is>
          <t>buru</t>
        </is>
      </c>
      <c r="B34" s="5">
        <f>COUNTIF('2_Token'!$D$5:$AK$5,$A34)</f>
        <v/>
      </c>
      <c r="C34" s="5">
        <f>COUNTIF('2_Token'!$D$6:$AK$6,$A34)</f>
        <v/>
      </c>
      <c r="D34" s="5">
        <f>COUNTIF('2_Token'!$D$7:$AK$7,$A34)</f>
        <v/>
      </c>
      <c r="E34" s="5">
        <f>COUNTIF('2_Token'!$D$8:$AK$8,$A34)</f>
        <v/>
      </c>
      <c r="F34" s="5">
        <f>COUNTIF('2_Token'!$D$9:$AK$9,$A34)</f>
        <v/>
      </c>
      <c r="G34" s="5">
        <f>COUNTIF('2_Token'!$D$10:$AK$10,$A34)</f>
        <v/>
      </c>
      <c r="H34" s="5">
        <f>COUNTIF('2_Token'!$D$11:$AK$11,$A34)</f>
        <v/>
      </c>
      <c r="I34" s="5">
        <f>COUNTIF('2_Token'!$D$12:$AK$12,$A34)</f>
        <v/>
      </c>
      <c r="J34" s="5">
        <f>COUNTIF('2_Token'!$D$13:$AK$13,$A34)</f>
        <v/>
      </c>
      <c r="K34" s="5">
        <f>COUNTIF('2_Token'!$D$14:$AK$14,$A34)</f>
        <v/>
      </c>
      <c r="L34" s="5">
        <f>COUNTIF('2_Token'!$D$15:$AK$15,$A34)</f>
        <v/>
      </c>
      <c r="M34" s="5">
        <f>COUNTIF('2_Token'!$D$16:$AK$16,$A34)</f>
        <v/>
      </c>
      <c r="N34" s="5">
        <f>SUM(B34:M34)</f>
        <v/>
      </c>
    </row>
    <row r="35">
      <c r="A35" s="6" t="inlineStr">
        <is>
          <t>co</t>
        </is>
      </c>
      <c r="B35" s="5">
        <f>COUNTIF('2_Token'!$D$5:$AK$5,$A35)</f>
        <v/>
      </c>
      <c r="C35" s="5">
        <f>COUNTIF('2_Token'!$D$6:$AK$6,$A35)</f>
        <v/>
      </c>
      <c r="D35" s="5">
        <f>COUNTIF('2_Token'!$D$7:$AK$7,$A35)</f>
        <v/>
      </c>
      <c r="E35" s="5">
        <f>COUNTIF('2_Token'!$D$8:$AK$8,$A35)</f>
        <v/>
      </c>
      <c r="F35" s="5">
        <f>COUNTIF('2_Token'!$D$9:$AK$9,$A35)</f>
        <v/>
      </c>
      <c r="G35" s="5">
        <f>COUNTIF('2_Token'!$D$10:$AK$10,$A35)</f>
        <v/>
      </c>
      <c r="H35" s="5">
        <f>COUNTIF('2_Token'!$D$11:$AK$11,$A35)</f>
        <v/>
      </c>
      <c r="I35" s="5">
        <f>COUNTIF('2_Token'!$D$12:$AK$12,$A35)</f>
        <v/>
      </c>
      <c r="J35" s="5">
        <f>COUNTIF('2_Token'!$D$13:$AK$13,$A35)</f>
        <v/>
      </c>
      <c r="K35" s="5">
        <f>COUNTIF('2_Token'!$D$14:$AK$14,$A35)</f>
        <v/>
      </c>
      <c r="L35" s="5">
        <f>COUNTIF('2_Token'!$D$15:$AK$15,$A35)</f>
        <v/>
      </c>
      <c r="M35" s="5">
        <f>COUNTIF('2_Token'!$D$16:$AK$16,$A35)</f>
        <v/>
      </c>
      <c r="N35" s="5">
        <f>SUM(B35:M35)</f>
        <v/>
      </c>
    </row>
    <row r="36">
      <c r="A36" s="6" t="inlineStr">
        <is>
          <t>cokelat</t>
        </is>
      </c>
      <c r="B36" s="5">
        <f>COUNTIF('2_Token'!$D$5:$AK$5,$A36)</f>
        <v/>
      </c>
      <c r="C36" s="5">
        <f>COUNTIF('2_Token'!$D$6:$AK$6,$A36)</f>
        <v/>
      </c>
      <c r="D36" s="5">
        <f>COUNTIF('2_Token'!$D$7:$AK$7,$A36)</f>
        <v/>
      </c>
      <c r="E36" s="5">
        <f>COUNTIF('2_Token'!$D$8:$AK$8,$A36)</f>
        <v/>
      </c>
      <c r="F36" s="5">
        <f>COUNTIF('2_Token'!$D$9:$AK$9,$A36)</f>
        <v/>
      </c>
      <c r="G36" s="5">
        <f>COUNTIF('2_Token'!$D$10:$AK$10,$A36)</f>
        <v/>
      </c>
      <c r="H36" s="5">
        <f>COUNTIF('2_Token'!$D$11:$AK$11,$A36)</f>
        <v/>
      </c>
      <c r="I36" s="5">
        <f>COUNTIF('2_Token'!$D$12:$AK$12,$A36)</f>
        <v/>
      </c>
      <c r="J36" s="5">
        <f>COUNTIF('2_Token'!$D$13:$AK$13,$A36)</f>
        <v/>
      </c>
      <c r="K36" s="5">
        <f>COUNTIF('2_Token'!$D$14:$AK$14,$A36)</f>
        <v/>
      </c>
      <c r="L36" s="5">
        <f>COUNTIF('2_Token'!$D$15:$AK$15,$A36)</f>
        <v/>
      </c>
      <c r="M36" s="5">
        <f>COUNTIF('2_Token'!$D$16:$AK$16,$A36)</f>
        <v/>
      </c>
      <c r="N36" s="5">
        <f>SUM(B36:M36)</f>
        <v/>
      </c>
    </row>
    <row r="37">
      <c r="A37" s="6" t="inlineStr">
        <is>
          <t>darat</t>
        </is>
      </c>
      <c r="B37" s="5">
        <f>COUNTIF('2_Token'!$D$5:$AK$5,$A37)</f>
        <v/>
      </c>
      <c r="C37" s="5">
        <f>COUNTIF('2_Token'!$D$6:$AK$6,$A37)</f>
        <v/>
      </c>
      <c r="D37" s="5">
        <f>COUNTIF('2_Token'!$D$7:$AK$7,$A37)</f>
        <v/>
      </c>
      <c r="E37" s="5">
        <f>COUNTIF('2_Token'!$D$8:$AK$8,$A37)</f>
        <v/>
      </c>
      <c r="F37" s="5">
        <f>COUNTIF('2_Token'!$D$9:$AK$9,$A37)</f>
        <v/>
      </c>
      <c r="G37" s="5">
        <f>COUNTIF('2_Token'!$D$10:$AK$10,$A37)</f>
        <v/>
      </c>
      <c r="H37" s="5">
        <f>COUNTIF('2_Token'!$D$11:$AK$11,$A37)</f>
        <v/>
      </c>
      <c r="I37" s="5">
        <f>COUNTIF('2_Token'!$D$12:$AK$12,$A37)</f>
        <v/>
      </c>
      <c r="J37" s="5">
        <f>COUNTIF('2_Token'!$D$13:$AK$13,$A37)</f>
        <v/>
      </c>
      <c r="K37" s="5">
        <f>COUNTIF('2_Token'!$D$14:$AK$14,$A37)</f>
        <v/>
      </c>
      <c r="L37" s="5">
        <f>COUNTIF('2_Token'!$D$15:$AK$15,$A37)</f>
        <v/>
      </c>
      <c r="M37" s="5">
        <f>COUNTIF('2_Token'!$D$16:$AK$16,$A37)</f>
        <v/>
      </c>
      <c r="N37" s="5">
        <f>SUM(B37:M37)</f>
        <v/>
      </c>
    </row>
    <row r="38">
      <c r="A38" s="6" t="inlineStr">
        <is>
          <t>dasar</t>
        </is>
      </c>
      <c r="B38" s="5">
        <f>COUNTIF('2_Token'!$D$5:$AK$5,$A38)</f>
        <v/>
      </c>
      <c r="C38" s="5">
        <f>COUNTIF('2_Token'!$D$6:$AK$6,$A38)</f>
        <v/>
      </c>
      <c r="D38" s="5">
        <f>COUNTIF('2_Token'!$D$7:$AK$7,$A38)</f>
        <v/>
      </c>
      <c r="E38" s="5">
        <f>COUNTIF('2_Token'!$D$8:$AK$8,$A38)</f>
        <v/>
      </c>
      <c r="F38" s="5">
        <f>COUNTIF('2_Token'!$D$9:$AK$9,$A38)</f>
        <v/>
      </c>
      <c r="G38" s="5">
        <f>COUNTIF('2_Token'!$D$10:$AK$10,$A38)</f>
        <v/>
      </c>
      <c r="H38" s="5">
        <f>COUNTIF('2_Token'!$D$11:$AK$11,$A38)</f>
        <v/>
      </c>
      <c r="I38" s="5">
        <f>COUNTIF('2_Token'!$D$12:$AK$12,$A38)</f>
        <v/>
      </c>
      <c r="J38" s="5">
        <f>COUNTIF('2_Token'!$D$13:$AK$13,$A38)</f>
        <v/>
      </c>
      <c r="K38" s="5">
        <f>COUNTIF('2_Token'!$D$14:$AK$14,$A38)</f>
        <v/>
      </c>
      <c r="L38" s="5">
        <f>COUNTIF('2_Token'!$D$15:$AK$15,$A38)</f>
        <v/>
      </c>
      <c r="M38" s="5">
        <f>COUNTIF('2_Token'!$D$16:$AK$16,$A38)</f>
        <v/>
      </c>
      <c r="N38" s="5">
        <f>SUM(B38:M38)</f>
        <v/>
      </c>
    </row>
    <row r="39">
      <c r="A39" s="6" t="inlineStr">
        <is>
          <t>dera</t>
        </is>
      </c>
      <c r="B39" s="5">
        <f>COUNTIF('2_Token'!$D$5:$AK$5,$A39)</f>
        <v/>
      </c>
      <c r="C39" s="5">
        <f>COUNTIF('2_Token'!$D$6:$AK$6,$A39)</f>
        <v/>
      </c>
      <c r="D39" s="5">
        <f>COUNTIF('2_Token'!$D$7:$AK$7,$A39)</f>
        <v/>
      </c>
      <c r="E39" s="5">
        <f>COUNTIF('2_Token'!$D$8:$AK$8,$A39)</f>
        <v/>
      </c>
      <c r="F39" s="5">
        <f>COUNTIF('2_Token'!$D$9:$AK$9,$A39)</f>
        <v/>
      </c>
      <c r="G39" s="5">
        <f>COUNTIF('2_Token'!$D$10:$AK$10,$A39)</f>
        <v/>
      </c>
      <c r="H39" s="5">
        <f>COUNTIF('2_Token'!$D$11:$AK$11,$A39)</f>
        <v/>
      </c>
      <c r="I39" s="5">
        <f>COUNTIF('2_Token'!$D$12:$AK$12,$A39)</f>
        <v/>
      </c>
      <c r="J39" s="5">
        <f>COUNTIF('2_Token'!$D$13:$AK$13,$A39)</f>
        <v/>
      </c>
      <c r="K39" s="5">
        <f>COUNTIF('2_Token'!$D$14:$AK$14,$A39)</f>
        <v/>
      </c>
      <c r="L39" s="5">
        <f>COUNTIF('2_Token'!$D$15:$AK$15,$A39)</f>
        <v/>
      </c>
      <c r="M39" s="5">
        <f>COUNTIF('2_Token'!$D$16:$AK$16,$A39)</f>
        <v/>
      </c>
      <c r="N39" s="5">
        <f>SUM(B39:M39)</f>
        <v/>
      </c>
    </row>
    <row r="40">
      <c r="A40" s="6" t="inlineStr">
        <is>
          <t>desember</t>
        </is>
      </c>
      <c r="B40" s="5">
        <f>COUNTIF('2_Token'!$D$5:$AK$5,$A40)</f>
        <v/>
      </c>
      <c r="C40" s="5">
        <f>COUNTIF('2_Token'!$D$6:$AK$6,$A40)</f>
        <v/>
      </c>
      <c r="D40" s="5">
        <f>COUNTIF('2_Token'!$D$7:$AK$7,$A40)</f>
        <v/>
      </c>
      <c r="E40" s="5">
        <f>COUNTIF('2_Token'!$D$8:$AK$8,$A40)</f>
        <v/>
      </c>
      <c r="F40" s="5">
        <f>COUNTIF('2_Token'!$D$9:$AK$9,$A40)</f>
        <v/>
      </c>
      <c r="G40" s="5">
        <f>COUNTIF('2_Token'!$D$10:$AK$10,$A40)</f>
        <v/>
      </c>
      <c r="H40" s="5">
        <f>COUNTIF('2_Token'!$D$11:$AK$11,$A40)</f>
        <v/>
      </c>
      <c r="I40" s="5">
        <f>COUNTIF('2_Token'!$D$12:$AK$12,$A40)</f>
        <v/>
      </c>
      <c r="J40" s="5">
        <f>COUNTIF('2_Token'!$D$13:$AK$13,$A40)</f>
        <v/>
      </c>
      <c r="K40" s="5">
        <f>COUNTIF('2_Token'!$D$14:$AK$14,$A40)</f>
        <v/>
      </c>
      <c r="L40" s="5">
        <f>COUNTIF('2_Token'!$D$15:$AK$15,$A40)</f>
        <v/>
      </c>
      <c r="M40" s="5">
        <f>COUNTIF('2_Token'!$D$16:$AK$16,$A40)</f>
        <v/>
      </c>
      <c r="N40" s="5">
        <f>SUM(B40:M40)</f>
        <v/>
      </c>
    </row>
    <row r="41">
      <c r="A41" s="6" t="inlineStr">
        <is>
          <t>dinas</t>
        </is>
      </c>
      <c r="B41" s="5">
        <f>COUNTIF('2_Token'!$D$5:$AK$5,$A41)</f>
        <v/>
      </c>
      <c r="C41" s="5">
        <f>COUNTIF('2_Token'!$D$6:$AK$6,$A41)</f>
        <v/>
      </c>
      <c r="D41" s="5">
        <f>COUNTIF('2_Token'!$D$7:$AK$7,$A41)</f>
        <v/>
      </c>
      <c r="E41" s="5">
        <f>COUNTIF('2_Token'!$D$8:$AK$8,$A41)</f>
        <v/>
      </c>
      <c r="F41" s="5">
        <f>COUNTIF('2_Token'!$D$9:$AK$9,$A41)</f>
        <v/>
      </c>
      <c r="G41" s="5">
        <f>COUNTIF('2_Token'!$D$10:$AK$10,$A41)</f>
        <v/>
      </c>
      <c r="H41" s="5">
        <f>COUNTIF('2_Token'!$D$11:$AK$11,$A41)</f>
        <v/>
      </c>
      <c r="I41" s="5">
        <f>COUNTIF('2_Token'!$D$12:$AK$12,$A41)</f>
        <v/>
      </c>
      <c r="J41" s="5">
        <f>COUNTIF('2_Token'!$D$13:$AK$13,$A41)</f>
        <v/>
      </c>
      <c r="K41" s="5">
        <f>COUNTIF('2_Token'!$D$14:$AK$14,$A41)</f>
        <v/>
      </c>
      <c r="L41" s="5">
        <f>COUNTIF('2_Token'!$D$15:$AK$15,$A41)</f>
        <v/>
      </c>
      <c r="M41" s="5">
        <f>COUNTIF('2_Token'!$D$16:$AK$16,$A41)</f>
        <v/>
      </c>
      <c r="N41" s="5">
        <f>SUM(B41:M41)</f>
        <v/>
      </c>
    </row>
    <row r="42">
      <c r="A42" s="6" t="inlineStr">
        <is>
          <t>ditemani</t>
        </is>
      </c>
      <c r="B42" s="5">
        <f>COUNTIF('2_Token'!$D$5:$AK$5,$A42)</f>
        <v/>
      </c>
      <c r="C42" s="5">
        <f>COUNTIF('2_Token'!$D$6:$AK$6,$A42)</f>
        <v/>
      </c>
      <c r="D42" s="5">
        <f>COUNTIF('2_Token'!$D$7:$AK$7,$A42)</f>
        <v/>
      </c>
      <c r="E42" s="5">
        <f>COUNTIF('2_Token'!$D$8:$AK$8,$A42)</f>
        <v/>
      </c>
      <c r="F42" s="5">
        <f>COUNTIF('2_Token'!$D$9:$AK$9,$A42)</f>
        <v/>
      </c>
      <c r="G42" s="5">
        <f>COUNTIF('2_Token'!$D$10:$AK$10,$A42)</f>
        <v/>
      </c>
      <c r="H42" s="5">
        <f>COUNTIF('2_Token'!$D$11:$AK$11,$A42)</f>
        <v/>
      </c>
      <c r="I42" s="5">
        <f>COUNTIF('2_Token'!$D$12:$AK$12,$A42)</f>
        <v/>
      </c>
      <c r="J42" s="5">
        <f>COUNTIF('2_Token'!$D$13:$AK$13,$A42)</f>
        <v/>
      </c>
      <c r="K42" s="5">
        <f>COUNTIF('2_Token'!$D$14:$AK$14,$A42)</f>
        <v/>
      </c>
      <c r="L42" s="5">
        <f>COUNTIF('2_Token'!$D$15:$AK$15,$A42)</f>
        <v/>
      </c>
      <c r="M42" s="5">
        <f>COUNTIF('2_Token'!$D$16:$AK$16,$A42)</f>
        <v/>
      </c>
      <c r="N42" s="5">
        <f>SUM(B42:M42)</f>
        <v/>
      </c>
    </row>
    <row r="43">
      <c r="A43" s="6" t="inlineStr">
        <is>
          <t>dorong</t>
        </is>
      </c>
      <c r="B43" s="5">
        <f>COUNTIF('2_Token'!$D$5:$AK$5,$A43)</f>
        <v/>
      </c>
      <c r="C43" s="5">
        <f>COUNTIF('2_Token'!$D$6:$AK$6,$A43)</f>
        <v/>
      </c>
      <c r="D43" s="5">
        <f>COUNTIF('2_Token'!$D$7:$AK$7,$A43)</f>
        <v/>
      </c>
      <c r="E43" s="5">
        <f>COUNTIF('2_Token'!$D$8:$AK$8,$A43)</f>
        <v/>
      </c>
      <c r="F43" s="5">
        <f>COUNTIF('2_Token'!$D$9:$AK$9,$A43)</f>
        <v/>
      </c>
      <c r="G43" s="5">
        <f>COUNTIF('2_Token'!$D$10:$AK$10,$A43)</f>
        <v/>
      </c>
      <c r="H43" s="5">
        <f>COUNTIF('2_Token'!$D$11:$AK$11,$A43)</f>
        <v/>
      </c>
      <c r="I43" s="5">
        <f>COUNTIF('2_Token'!$D$12:$AK$12,$A43)</f>
        <v/>
      </c>
      <c r="J43" s="5">
        <f>COUNTIF('2_Token'!$D$13:$AK$13,$A43)</f>
        <v/>
      </c>
      <c r="K43" s="5">
        <f>COUNTIF('2_Token'!$D$14:$AK$14,$A43)</f>
        <v/>
      </c>
      <c r="L43" s="5">
        <f>COUNTIF('2_Token'!$D$15:$AK$15,$A43)</f>
        <v/>
      </c>
      <c r="M43" s="5">
        <f>COUNTIF('2_Token'!$D$16:$AK$16,$A43)</f>
        <v/>
      </c>
      <c r="N43" s="5">
        <f>SUM(B43:M43)</f>
        <v/>
      </c>
    </row>
    <row r="44">
      <c r="A44" s="6" t="inlineStr">
        <is>
          <t>dua</t>
        </is>
      </c>
      <c r="B44" s="5">
        <f>COUNTIF('2_Token'!$D$5:$AK$5,$A44)</f>
        <v/>
      </c>
      <c r="C44" s="5">
        <f>COUNTIF('2_Token'!$D$6:$AK$6,$A44)</f>
        <v/>
      </c>
      <c r="D44" s="5">
        <f>COUNTIF('2_Token'!$D$7:$AK$7,$A44)</f>
        <v/>
      </c>
      <c r="E44" s="5">
        <f>COUNTIF('2_Token'!$D$8:$AK$8,$A44)</f>
        <v/>
      </c>
      <c r="F44" s="5">
        <f>COUNTIF('2_Token'!$D$9:$AK$9,$A44)</f>
        <v/>
      </c>
      <c r="G44" s="5">
        <f>COUNTIF('2_Token'!$D$10:$AK$10,$A44)</f>
        <v/>
      </c>
      <c r="H44" s="5">
        <f>COUNTIF('2_Token'!$D$11:$AK$11,$A44)</f>
        <v/>
      </c>
      <c r="I44" s="5">
        <f>COUNTIF('2_Token'!$D$12:$AK$12,$A44)</f>
        <v/>
      </c>
      <c r="J44" s="5">
        <f>COUNTIF('2_Token'!$D$13:$AK$13,$A44)</f>
        <v/>
      </c>
      <c r="K44" s="5">
        <f>COUNTIF('2_Token'!$D$14:$AK$14,$A44)</f>
        <v/>
      </c>
      <c r="L44" s="5">
        <f>COUNTIF('2_Token'!$D$15:$AK$15,$A44)</f>
        <v/>
      </c>
      <c r="M44" s="5">
        <f>COUNTIF('2_Token'!$D$16:$AK$16,$A44)</f>
        <v/>
      </c>
      <c r="N44" s="5">
        <f>SUM(B44:M44)</f>
        <v/>
      </c>
    </row>
    <row r="45">
      <c r="A45" s="6" t="inlineStr">
        <is>
          <t>editor</t>
        </is>
      </c>
      <c r="B45" s="5">
        <f>COUNTIF('2_Token'!$D$5:$AK$5,$A45)</f>
        <v/>
      </c>
      <c r="C45" s="5">
        <f>COUNTIF('2_Token'!$D$6:$AK$6,$A45)</f>
        <v/>
      </c>
      <c r="D45" s="5">
        <f>COUNTIF('2_Token'!$D$7:$AK$7,$A45)</f>
        <v/>
      </c>
      <c r="E45" s="5">
        <f>COUNTIF('2_Token'!$D$8:$AK$8,$A45)</f>
        <v/>
      </c>
      <c r="F45" s="5">
        <f>COUNTIF('2_Token'!$D$9:$AK$9,$A45)</f>
        <v/>
      </c>
      <c r="G45" s="5">
        <f>COUNTIF('2_Token'!$D$10:$AK$10,$A45)</f>
        <v/>
      </c>
      <c r="H45" s="5">
        <f>COUNTIF('2_Token'!$D$11:$AK$11,$A45)</f>
        <v/>
      </c>
      <c r="I45" s="5">
        <f>COUNTIF('2_Token'!$D$12:$AK$12,$A45)</f>
        <v/>
      </c>
      <c r="J45" s="5">
        <f>COUNTIF('2_Token'!$D$13:$AK$13,$A45)</f>
        <v/>
      </c>
      <c r="K45" s="5">
        <f>COUNTIF('2_Token'!$D$14:$AK$14,$A45)</f>
        <v/>
      </c>
      <c r="L45" s="5">
        <f>COUNTIF('2_Token'!$D$15:$AK$15,$A45)</f>
        <v/>
      </c>
      <c r="M45" s="5">
        <f>COUNTIF('2_Token'!$D$16:$AK$16,$A45)</f>
        <v/>
      </c>
      <c r="N45" s="5">
        <f>SUM(B45:M45)</f>
        <v/>
      </c>
    </row>
    <row r="46">
      <c r="A46" s="6" t="inlineStr">
        <is>
          <t>eka</t>
        </is>
      </c>
      <c r="B46" s="5">
        <f>COUNTIF('2_Token'!$D$5:$AK$5,$A46)</f>
        <v/>
      </c>
      <c r="C46" s="5">
        <f>COUNTIF('2_Token'!$D$6:$AK$6,$A46)</f>
        <v/>
      </c>
      <c r="D46" s="5">
        <f>COUNTIF('2_Token'!$D$7:$AK$7,$A46)</f>
        <v/>
      </c>
      <c r="E46" s="5">
        <f>COUNTIF('2_Token'!$D$8:$AK$8,$A46)</f>
        <v/>
      </c>
      <c r="F46" s="5">
        <f>COUNTIF('2_Token'!$D$9:$AK$9,$A46)</f>
        <v/>
      </c>
      <c r="G46" s="5">
        <f>COUNTIF('2_Token'!$D$10:$AK$10,$A46)</f>
        <v/>
      </c>
      <c r="H46" s="5">
        <f>COUNTIF('2_Token'!$D$11:$AK$11,$A46)</f>
        <v/>
      </c>
      <c r="I46" s="5">
        <f>COUNTIF('2_Token'!$D$12:$AK$12,$A46)</f>
        <v/>
      </c>
      <c r="J46" s="5">
        <f>COUNTIF('2_Token'!$D$13:$AK$13,$A46)</f>
        <v/>
      </c>
      <c r="K46" s="5">
        <f>COUNTIF('2_Token'!$D$14:$AK$14,$A46)</f>
        <v/>
      </c>
      <c r="L46" s="5">
        <f>COUNTIF('2_Token'!$D$15:$AK$15,$A46)</f>
        <v/>
      </c>
      <c r="M46" s="5">
        <f>COUNTIF('2_Token'!$D$16:$AK$16,$A46)</f>
        <v/>
      </c>
      <c r="N46" s="5">
        <f>SUM(B46:M46)</f>
        <v/>
      </c>
    </row>
    <row r="47">
      <c r="A47" s="6" t="inlineStr">
        <is>
          <t>embung</t>
        </is>
      </c>
      <c r="B47" s="5">
        <f>COUNTIF('2_Token'!$D$5:$AK$5,$A47)</f>
        <v/>
      </c>
      <c r="C47" s="5">
        <f>COUNTIF('2_Token'!$D$6:$AK$6,$A47)</f>
        <v/>
      </c>
      <c r="D47" s="5">
        <f>COUNTIF('2_Token'!$D$7:$AK$7,$A47)</f>
        <v/>
      </c>
      <c r="E47" s="5">
        <f>COUNTIF('2_Token'!$D$8:$AK$8,$A47)</f>
        <v/>
      </c>
      <c r="F47" s="5">
        <f>COUNTIF('2_Token'!$D$9:$AK$9,$A47)</f>
        <v/>
      </c>
      <c r="G47" s="5">
        <f>COUNTIF('2_Token'!$D$10:$AK$10,$A47)</f>
        <v/>
      </c>
      <c r="H47" s="5">
        <f>COUNTIF('2_Token'!$D$11:$AK$11,$A47)</f>
        <v/>
      </c>
      <c r="I47" s="5">
        <f>COUNTIF('2_Token'!$D$12:$AK$12,$A47)</f>
        <v/>
      </c>
      <c r="J47" s="5">
        <f>COUNTIF('2_Token'!$D$13:$AK$13,$A47)</f>
        <v/>
      </c>
      <c r="K47" s="5">
        <f>COUNTIF('2_Token'!$D$14:$AK$14,$A47)</f>
        <v/>
      </c>
      <c r="L47" s="5">
        <f>COUNTIF('2_Token'!$D$15:$AK$15,$A47)</f>
        <v/>
      </c>
      <c r="M47" s="5">
        <f>COUNTIF('2_Token'!$D$16:$AK$16,$A47)</f>
        <v/>
      </c>
      <c r="N47" s="5">
        <f>SUM(B47:M47)</f>
        <v/>
      </c>
    </row>
    <row r="48">
      <c r="A48" s="6" t="inlineStr">
        <is>
          <t>epriyadi</t>
        </is>
      </c>
      <c r="B48" s="5">
        <f>COUNTIF('2_Token'!$D$5:$AK$5,$A48)</f>
        <v/>
      </c>
      <c r="C48" s="5">
        <f>COUNTIF('2_Token'!$D$6:$AK$6,$A48)</f>
        <v/>
      </c>
      <c r="D48" s="5">
        <f>COUNTIF('2_Token'!$D$7:$AK$7,$A48)</f>
        <v/>
      </c>
      <c r="E48" s="5">
        <f>COUNTIF('2_Token'!$D$8:$AK$8,$A48)</f>
        <v/>
      </c>
      <c r="F48" s="5">
        <f>COUNTIF('2_Token'!$D$9:$AK$9,$A48)</f>
        <v/>
      </c>
      <c r="G48" s="5">
        <f>COUNTIF('2_Token'!$D$10:$AK$10,$A48)</f>
        <v/>
      </c>
      <c r="H48" s="5">
        <f>COUNTIF('2_Token'!$D$11:$AK$11,$A48)</f>
        <v/>
      </c>
      <c r="I48" s="5">
        <f>COUNTIF('2_Token'!$D$12:$AK$12,$A48)</f>
        <v/>
      </c>
      <c r="J48" s="5">
        <f>COUNTIF('2_Token'!$D$13:$AK$13,$A48)</f>
        <v/>
      </c>
      <c r="K48" s="5">
        <f>COUNTIF('2_Token'!$D$14:$AK$14,$A48)</f>
        <v/>
      </c>
      <c r="L48" s="5">
        <f>COUNTIF('2_Token'!$D$15:$AK$15,$A48)</f>
        <v/>
      </c>
      <c r="M48" s="5">
        <f>COUNTIF('2_Token'!$D$16:$AK$16,$A48)</f>
        <v/>
      </c>
      <c r="N48" s="5">
        <f>SUM(B48:M48)</f>
        <v/>
      </c>
    </row>
    <row r="49">
      <c r="A49" s="6" t="inlineStr">
        <is>
          <t>erick</t>
        </is>
      </c>
      <c r="B49" s="5">
        <f>COUNTIF('2_Token'!$D$5:$AK$5,$A49)</f>
        <v/>
      </c>
      <c r="C49" s="5">
        <f>COUNTIF('2_Token'!$D$6:$AK$6,$A49)</f>
        <v/>
      </c>
      <c r="D49" s="5">
        <f>COUNTIF('2_Token'!$D$7:$AK$7,$A49)</f>
        <v/>
      </c>
      <c r="E49" s="5">
        <f>COUNTIF('2_Token'!$D$8:$AK$8,$A49)</f>
        <v/>
      </c>
      <c r="F49" s="5">
        <f>COUNTIF('2_Token'!$D$9:$AK$9,$A49)</f>
        <v/>
      </c>
      <c r="G49" s="5">
        <f>COUNTIF('2_Token'!$D$10:$AK$10,$A49)</f>
        <v/>
      </c>
      <c r="H49" s="5">
        <f>COUNTIF('2_Token'!$D$11:$AK$11,$A49)</f>
        <v/>
      </c>
      <c r="I49" s="5">
        <f>COUNTIF('2_Token'!$D$12:$AK$12,$A49)</f>
        <v/>
      </c>
      <c r="J49" s="5">
        <f>COUNTIF('2_Token'!$D$13:$AK$13,$A49)</f>
        <v/>
      </c>
      <c r="K49" s="5">
        <f>COUNTIF('2_Token'!$D$14:$AK$14,$A49)</f>
        <v/>
      </c>
      <c r="L49" s="5">
        <f>COUNTIF('2_Token'!$D$15:$AK$15,$A49)</f>
        <v/>
      </c>
      <c r="M49" s="5">
        <f>COUNTIF('2_Token'!$D$16:$AK$16,$A49)</f>
        <v/>
      </c>
      <c r="N49" s="5">
        <f>SUM(B49:M49)</f>
        <v/>
      </c>
    </row>
    <row r="50">
      <c r="A50" s="6" t="inlineStr">
        <is>
          <t>fardi</t>
        </is>
      </c>
      <c r="B50" s="5">
        <f>COUNTIF('2_Token'!$D$5:$AK$5,$A50)</f>
        <v/>
      </c>
      <c r="C50" s="5">
        <f>COUNTIF('2_Token'!$D$6:$AK$6,$A50)</f>
        <v/>
      </c>
      <c r="D50" s="5">
        <f>COUNTIF('2_Token'!$D$7:$AK$7,$A50)</f>
        <v/>
      </c>
      <c r="E50" s="5">
        <f>COUNTIF('2_Token'!$D$8:$AK$8,$A50)</f>
        <v/>
      </c>
      <c r="F50" s="5">
        <f>COUNTIF('2_Token'!$D$9:$AK$9,$A50)</f>
        <v/>
      </c>
      <c r="G50" s="5">
        <f>COUNTIF('2_Token'!$D$10:$AK$10,$A50)</f>
        <v/>
      </c>
      <c r="H50" s="5">
        <f>COUNTIF('2_Token'!$D$11:$AK$11,$A50)</f>
        <v/>
      </c>
      <c r="I50" s="5">
        <f>COUNTIF('2_Token'!$D$12:$AK$12,$A50)</f>
        <v/>
      </c>
      <c r="J50" s="5">
        <f>COUNTIF('2_Token'!$D$13:$AK$13,$A50)</f>
        <v/>
      </c>
      <c r="K50" s="5">
        <f>COUNTIF('2_Token'!$D$14:$AK$14,$A50)</f>
        <v/>
      </c>
      <c r="L50" s="5">
        <f>COUNTIF('2_Token'!$D$15:$AK$15,$A50)</f>
        <v/>
      </c>
      <c r="M50" s="5">
        <f>COUNTIF('2_Token'!$D$16:$AK$16,$A50)</f>
        <v/>
      </c>
      <c r="N50" s="5">
        <f>SUM(B50:M50)</f>
        <v/>
      </c>
    </row>
    <row r="51">
      <c r="A51" s="6" t="inlineStr">
        <is>
          <t>foto</t>
        </is>
      </c>
      <c r="B51" s="5">
        <f>COUNTIF('2_Token'!$D$5:$AK$5,$A51)</f>
        <v/>
      </c>
      <c r="C51" s="5">
        <f>COUNTIF('2_Token'!$D$6:$AK$6,$A51)</f>
        <v/>
      </c>
      <c r="D51" s="5">
        <f>COUNTIF('2_Token'!$D$7:$AK$7,$A51)</f>
        <v/>
      </c>
      <c r="E51" s="5">
        <f>COUNTIF('2_Token'!$D$8:$AK$8,$A51)</f>
        <v/>
      </c>
      <c r="F51" s="5">
        <f>COUNTIF('2_Token'!$D$9:$AK$9,$A51)</f>
        <v/>
      </c>
      <c r="G51" s="5">
        <f>COUNTIF('2_Token'!$D$10:$AK$10,$A51)</f>
        <v/>
      </c>
      <c r="H51" s="5">
        <f>COUNTIF('2_Token'!$D$11:$AK$11,$A51)</f>
        <v/>
      </c>
      <c r="I51" s="5">
        <f>COUNTIF('2_Token'!$D$12:$AK$12,$A51)</f>
        <v/>
      </c>
      <c r="J51" s="5">
        <f>COUNTIF('2_Token'!$D$13:$AK$13,$A51)</f>
        <v/>
      </c>
      <c r="K51" s="5">
        <f>COUNTIF('2_Token'!$D$14:$AK$14,$A51)</f>
        <v/>
      </c>
      <c r="L51" s="5">
        <f>COUNTIF('2_Token'!$D$15:$AK$15,$A51)</f>
        <v/>
      </c>
      <c r="M51" s="5">
        <f>COUNTIF('2_Token'!$D$16:$AK$16,$A51)</f>
        <v/>
      </c>
      <c r="N51" s="5">
        <f>SUM(B51:M51)</f>
        <v/>
      </c>
    </row>
    <row r="52">
      <c r="A52" s="6" t="inlineStr">
        <is>
          <t>fotoeditor</t>
        </is>
      </c>
      <c r="B52" s="5">
        <f>COUNTIF('2_Token'!$D$5:$AK$5,$A52)</f>
        <v/>
      </c>
      <c r="C52" s="5">
        <f>COUNTIF('2_Token'!$D$6:$AK$6,$A52)</f>
        <v/>
      </c>
      <c r="D52" s="5">
        <f>COUNTIF('2_Token'!$D$7:$AK$7,$A52)</f>
        <v/>
      </c>
      <c r="E52" s="5">
        <f>COUNTIF('2_Token'!$D$8:$AK$8,$A52)</f>
        <v/>
      </c>
      <c r="F52" s="5">
        <f>COUNTIF('2_Token'!$D$9:$AK$9,$A52)</f>
        <v/>
      </c>
      <c r="G52" s="5">
        <f>COUNTIF('2_Token'!$D$10:$AK$10,$A52)</f>
        <v/>
      </c>
      <c r="H52" s="5">
        <f>COUNTIF('2_Token'!$D$11:$AK$11,$A52)</f>
        <v/>
      </c>
      <c r="I52" s="5">
        <f>COUNTIF('2_Token'!$D$12:$AK$12,$A52)</f>
        <v/>
      </c>
      <c r="J52" s="5">
        <f>COUNTIF('2_Token'!$D$13:$AK$13,$A52)</f>
        <v/>
      </c>
      <c r="K52" s="5">
        <f>COUNTIF('2_Token'!$D$14:$AK$14,$A52)</f>
        <v/>
      </c>
      <c r="L52" s="5">
        <f>COUNTIF('2_Token'!$D$15:$AK$15,$A52)</f>
        <v/>
      </c>
      <c r="M52" s="5">
        <f>COUNTIF('2_Token'!$D$16:$AK$16,$A52)</f>
        <v/>
      </c>
      <c r="N52" s="5">
        <f>SUM(B52:M52)</f>
        <v/>
      </c>
    </row>
    <row r="53">
      <c r="A53" s="6" t="inlineStr">
        <is>
          <t>ganti</t>
        </is>
      </c>
      <c r="B53" s="5">
        <f>COUNTIF('2_Token'!$D$5:$AK$5,$A53)</f>
        <v/>
      </c>
      <c r="C53" s="5">
        <f>COUNTIF('2_Token'!$D$6:$AK$6,$A53)</f>
        <v/>
      </c>
      <c r="D53" s="5">
        <f>COUNTIF('2_Token'!$D$7:$AK$7,$A53)</f>
        <v/>
      </c>
      <c r="E53" s="5">
        <f>COUNTIF('2_Token'!$D$8:$AK$8,$A53)</f>
        <v/>
      </c>
      <c r="F53" s="5">
        <f>COUNTIF('2_Token'!$D$9:$AK$9,$A53)</f>
        <v/>
      </c>
      <c r="G53" s="5">
        <f>COUNTIF('2_Token'!$D$10:$AK$10,$A53)</f>
        <v/>
      </c>
      <c r="H53" s="5">
        <f>COUNTIF('2_Token'!$D$11:$AK$11,$A53)</f>
        <v/>
      </c>
      <c r="I53" s="5">
        <f>COUNTIF('2_Token'!$D$12:$AK$12,$A53)</f>
        <v/>
      </c>
      <c r="J53" s="5">
        <f>COUNTIF('2_Token'!$D$13:$AK$13,$A53)</f>
        <v/>
      </c>
      <c r="K53" s="5">
        <f>COUNTIF('2_Token'!$D$14:$AK$14,$A53)</f>
        <v/>
      </c>
      <c r="L53" s="5">
        <f>COUNTIF('2_Token'!$D$15:$AK$15,$A53)</f>
        <v/>
      </c>
      <c r="M53" s="5">
        <f>COUNTIF('2_Token'!$D$16:$AK$16,$A53)</f>
        <v/>
      </c>
      <c r="N53" s="5">
        <f>SUM(B53:M53)</f>
        <v/>
      </c>
    </row>
    <row r="54">
      <c r="A54" s="6" t="inlineStr">
        <is>
          <t>gencat</t>
        </is>
      </c>
      <c r="B54" s="5">
        <f>COUNTIF('2_Token'!$D$5:$AK$5,$A54)</f>
        <v/>
      </c>
      <c r="C54" s="5">
        <f>COUNTIF('2_Token'!$D$6:$AK$6,$A54)</f>
        <v/>
      </c>
      <c r="D54" s="5">
        <f>COUNTIF('2_Token'!$D$7:$AK$7,$A54)</f>
        <v/>
      </c>
      <c r="E54" s="5">
        <f>COUNTIF('2_Token'!$D$8:$AK$8,$A54)</f>
        <v/>
      </c>
      <c r="F54" s="5">
        <f>COUNTIF('2_Token'!$D$9:$AK$9,$A54)</f>
        <v/>
      </c>
      <c r="G54" s="5">
        <f>COUNTIF('2_Token'!$D$10:$AK$10,$A54)</f>
        <v/>
      </c>
      <c r="H54" s="5">
        <f>COUNTIF('2_Token'!$D$11:$AK$11,$A54)</f>
        <v/>
      </c>
      <c r="I54" s="5">
        <f>COUNTIF('2_Token'!$D$12:$AK$12,$A54)</f>
        <v/>
      </c>
      <c r="J54" s="5">
        <f>COUNTIF('2_Token'!$D$13:$AK$13,$A54)</f>
        <v/>
      </c>
      <c r="K54" s="5">
        <f>COUNTIF('2_Token'!$D$14:$AK$14,$A54)</f>
        <v/>
      </c>
      <c r="L54" s="5">
        <f>COUNTIF('2_Token'!$D$15:$AK$15,$A54)</f>
        <v/>
      </c>
      <c r="M54" s="5">
        <f>COUNTIF('2_Token'!$D$16:$AK$16,$A54)</f>
        <v/>
      </c>
      <c r="N54" s="5">
        <f>SUM(B54:M54)</f>
        <v/>
      </c>
    </row>
    <row r="55">
      <c r="A55" s="6" t="inlineStr">
        <is>
          <t>gumiwang</t>
        </is>
      </c>
      <c r="B55" s="5">
        <f>COUNTIF('2_Token'!$D$5:$AK$5,$A55)</f>
        <v/>
      </c>
      <c r="C55" s="5">
        <f>COUNTIF('2_Token'!$D$6:$AK$6,$A55)</f>
        <v/>
      </c>
      <c r="D55" s="5">
        <f>COUNTIF('2_Token'!$D$7:$AK$7,$A55)</f>
        <v/>
      </c>
      <c r="E55" s="5">
        <f>COUNTIF('2_Token'!$D$8:$AK$8,$A55)</f>
        <v/>
      </c>
      <c r="F55" s="5">
        <f>COUNTIF('2_Token'!$D$9:$AK$9,$A55)</f>
        <v/>
      </c>
      <c r="G55" s="5">
        <f>COUNTIF('2_Token'!$D$10:$AK$10,$A55)</f>
        <v/>
      </c>
      <c r="H55" s="5">
        <f>COUNTIF('2_Token'!$D$11:$AK$11,$A55)</f>
        <v/>
      </c>
      <c r="I55" s="5">
        <f>COUNTIF('2_Token'!$D$12:$AK$12,$A55)</f>
        <v/>
      </c>
      <c r="J55" s="5">
        <f>COUNTIF('2_Token'!$D$13:$AK$13,$A55)</f>
        <v/>
      </c>
      <c r="K55" s="5">
        <f>COUNTIF('2_Token'!$D$14:$AK$14,$A55)</f>
        <v/>
      </c>
      <c r="L55" s="5">
        <f>COUNTIF('2_Token'!$D$15:$AK$15,$A55)</f>
        <v/>
      </c>
      <c r="M55" s="5">
        <f>COUNTIF('2_Token'!$D$16:$AK$16,$A55)</f>
        <v/>
      </c>
      <c r="N55" s="5">
        <f>SUM(B55:M55)</f>
        <v/>
      </c>
    </row>
    <row r="56">
      <c r="A56" s="6" t="inlineStr">
        <is>
          <t>gunungkidul</t>
        </is>
      </c>
      <c r="B56" s="5">
        <f>COUNTIF('2_Token'!$D$5:$AK$5,$A56)</f>
        <v/>
      </c>
      <c r="C56" s="5">
        <f>COUNTIF('2_Token'!$D$6:$AK$6,$A56)</f>
        <v/>
      </c>
      <c r="D56" s="5">
        <f>COUNTIF('2_Token'!$D$7:$AK$7,$A56)</f>
        <v/>
      </c>
      <c r="E56" s="5">
        <f>COUNTIF('2_Token'!$D$8:$AK$8,$A56)</f>
        <v/>
      </c>
      <c r="F56" s="5">
        <f>COUNTIF('2_Token'!$D$9:$AK$9,$A56)</f>
        <v/>
      </c>
      <c r="G56" s="5">
        <f>COUNTIF('2_Token'!$D$10:$AK$10,$A56)</f>
        <v/>
      </c>
      <c r="H56" s="5">
        <f>COUNTIF('2_Token'!$D$11:$AK$11,$A56)</f>
        <v/>
      </c>
      <c r="I56" s="5">
        <f>COUNTIF('2_Token'!$D$12:$AK$12,$A56)</f>
        <v/>
      </c>
      <c r="J56" s="5">
        <f>COUNTIF('2_Token'!$D$13:$AK$13,$A56)</f>
        <v/>
      </c>
      <c r="K56" s="5">
        <f>COUNTIF('2_Token'!$D$14:$AK$14,$A56)</f>
        <v/>
      </c>
      <c r="L56" s="5">
        <f>COUNTIF('2_Token'!$D$15:$AK$15,$A56)</f>
        <v/>
      </c>
      <c r="M56" s="5">
        <f>COUNTIF('2_Token'!$D$16:$AK$16,$A56)</f>
        <v/>
      </c>
      <c r="N56" s="5">
        <f>SUM(B56:M56)</f>
        <v/>
      </c>
    </row>
    <row r="57">
      <c r="A57" s="6" t="inlineStr">
        <is>
          <t>gurita</t>
        </is>
      </c>
      <c r="B57" s="5">
        <f>COUNTIF('2_Token'!$D$5:$AK$5,$A57)</f>
        <v/>
      </c>
      <c r="C57" s="5">
        <f>COUNTIF('2_Token'!$D$6:$AK$6,$A57)</f>
        <v/>
      </c>
      <c r="D57" s="5">
        <f>COUNTIF('2_Token'!$D$7:$AK$7,$A57)</f>
        <v/>
      </c>
      <c r="E57" s="5">
        <f>COUNTIF('2_Token'!$D$8:$AK$8,$A57)</f>
        <v/>
      </c>
      <c r="F57" s="5">
        <f>COUNTIF('2_Token'!$D$9:$AK$9,$A57)</f>
        <v/>
      </c>
      <c r="G57" s="5">
        <f>COUNTIF('2_Token'!$D$10:$AK$10,$A57)</f>
        <v/>
      </c>
      <c r="H57" s="5">
        <f>COUNTIF('2_Token'!$D$11:$AK$11,$A57)</f>
        <v/>
      </c>
      <c r="I57" s="5">
        <f>COUNTIF('2_Token'!$D$12:$AK$12,$A57)</f>
        <v/>
      </c>
      <c r="J57" s="5">
        <f>COUNTIF('2_Token'!$D$13:$AK$13,$A57)</f>
        <v/>
      </c>
      <c r="K57" s="5">
        <f>COUNTIF('2_Token'!$D$14:$AK$14,$A57)</f>
        <v/>
      </c>
      <c r="L57" s="5">
        <f>COUNTIF('2_Token'!$D$15:$AK$15,$A57)</f>
        <v/>
      </c>
      <c r="M57" s="5">
        <f>COUNTIF('2_Token'!$D$16:$AK$16,$A57)</f>
        <v/>
      </c>
      <c r="N57" s="5">
        <f>SUM(B57:M57)</f>
        <v/>
      </c>
    </row>
    <row r="58">
      <c r="A58" s="6" t="inlineStr">
        <is>
          <t>hamas</t>
        </is>
      </c>
      <c r="B58" s="5">
        <f>COUNTIF('2_Token'!$D$5:$AK$5,$A58)</f>
        <v/>
      </c>
      <c r="C58" s="5">
        <f>COUNTIF('2_Token'!$D$6:$AK$6,$A58)</f>
        <v/>
      </c>
      <c r="D58" s="5">
        <f>COUNTIF('2_Token'!$D$7:$AK$7,$A58)</f>
        <v/>
      </c>
      <c r="E58" s="5">
        <f>COUNTIF('2_Token'!$D$8:$AK$8,$A58)</f>
        <v/>
      </c>
      <c r="F58" s="5">
        <f>COUNTIF('2_Token'!$D$9:$AK$9,$A58)</f>
        <v/>
      </c>
      <c r="G58" s="5">
        <f>COUNTIF('2_Token'!$D$10:$AK$10,$A58)</f>
        <v/>
      </c>
      <c r="H58" s="5">
        <f>COUNTIF('2_Token'!$D$11:$AK$11,$A58)</f>
        <v/>
      </c>
      <c r="I58" s="5">
        <f>COUNTIF('2_Token'!$D$12:$AK$12,$A58)</f>
        <v/>
      </c>
      <c r="J58" s="5">
        <f>COUNTIF('2_Token'!$D$13:$AK$13,$A58)</f>
        <v/>
      </c>
      <c r="K58" s="5">
        <f>COUNTIF('2_Token'!$D$14:$AK$14,$A58)</f>
        <v/>
      </c>
      <c r="L58" s="5">
        <f>COUNTIF('2_Token'!$D$15:$AK$15,$A58)</f>
        <v/>
      </c>
      <c r="M58" s="5">
        <f>COUNTIF('2_Token'!$D$16:$AK$16,$A58)</f>
        <v/>
      </c>
      <c r="N58" s="5">
        <f>SUM(B58:M58)</f>
        <v/>
      </c>
    </row>
    <row r="59">
      <c r="A59" s="6" t="inlineStr">
        <is>
          <t>harga</t>
        </is>
      </c>
      <c r="B59" s="5">
        <f>COUNTIF('2_Token'!$D$5:$AK$5,$A59)</f>
        <v/>
      </c>
      <c r="C59" s="5">
        <f>COUNTIF('2_Token'!$D$6:$AK$6,$A59)</f>
        <v/>
      </c>
      <c r="D59" s="5">
        <f>COUNTIF('2_Token'!$D$7:$AK$7,$A59)</f>
        <v/>
      </c>
      <c r="E59" s="5">
        <f>COUNTIF('2_Token'!$D$8:$AK$8,$A59)</f>
        <v/>
      </c>
      <c r="F59" s="5">
        <f>COUNTIF('2_Token'!$D$9:$AK$9,$A59)</f>
        <v/>
      </c>
      <c r="G59" s="5">
        <f>COUNTIF('2_Token'!$D$10:$AK$10,$A59)</f>
        <v/>
      </c>
      <c r="H59" s="5">
        <f>COUNTIF('2_Token'!$D$11:$AK$11,$A59)</f>
        <v/>
      </c>
      <c r="I59" s="5">
        <f>COUNTIF('2_Token'!$D$12:$AK$12,$A59)</f>
        <v/>
      </c>
      <c r="J59" s="5">
        <f>COUNTIF('2_Token'!$D$13:$AK$13,$A59)</f>
        <v/>
      </c>
      <c r="K59" s="5">
        <f>COUNTIF('2_Token'!$D$14:$AK$14,$A59)</f>
        <v/>
      </c>
      <c r="L59" s="5">
        <f>COUNTIF('2_Token'!$D$15:$AK$15,$A59)</f>
        <v/>
      </c>
      <c r="M59" s="5">
        <f>COUNTIF('2_Token'!$D$16:$AK$16,$A59)</f>
        <v/>
      </c>
      <c r="N59" s="5">
        <f>SUM(B59:M59)</f>
        <v/>
      </c>
    </row>
    <row r="60">
      <c r="A60" s="6" t="inlineStr">
        <is>
          <t>hari</t>
        </is>
      </c>
      <c r="B60" s="5">
        <f>COUNTIF('2_Token'!$D$5:$AK$5,$A60)</f>
        <v/>
      </c>
      <c r="C60" s="5">
        <f>COUNTIF('2_Token'!$D$6:$AK$6,$A60)</f>
        <v/>
      </c>
      <c r="D60" s="5">
        <f>COUNTIF('2_Token'!$D$7:$AK$7,$A60)</f>
        <v/>
      </c>
      <c r="E60" s="5">
        <f>COUNTIF('2_Token'!$D$8:$AK$8,$A60)</f>
        <v/>
      </c>
      <c r="F60" s="5">
        <f>COUNTIF('2_Token'!$D$9:$AK$9,$A60)</f>
        <v/>
      </c>
      <c r="G60" s="5">
        <f>COUNTIF('2_Token'!$D$10:$AK$10,$A60)</f>
        <v/>
      </c>
      <c r="H60" s="5">
        <f>COUNTIF('2_Token'!$D$11:$AK$11,$A60)</f>
        <v/>
      </c>
      <c r="I60" s="5">
        <f>COUNTIF('2_Token'!$D$12:$AK$12,$A60)</f>
        <v/>
      </c>
      <c r="J60" s="5">
        <f>COUNTIF('2_Token'!$D$13:$AK$13,$A60)</f>
        <v/>
      </c>
      <c r="K60" s="5">
        <f>COUNTIF('2_Token'!$D$14:$AK$14,$A60)</f>
        <v/>
      </c>
      <c r="L60" s="5">
        <f>COUNTIF('2_Token'!$D$15:$AK$15,$A60)</f>
        <v/>
      </c>
      <c r="M60" s="5">
        <f>COUNTIF('2_Token'!$D$16:$AK$16,$A60)</f>
        <v/>
      </c>
      <c r="N60" s="5">
        <f>SUM(B60:M60)</f>
        <v/>
      </c>
    </row>
    <row r="61">
      <c r="A61" s="6" t="inlineStr">
        <is>
          <t>hidup</t>
        </is>
      </c>
      <c r="B61" s="5">
        <f>COUNTIF('2_Token'!$D$5:$AK$5,$A61)</f>
        <v/>
      </c>
      <c r="C61" s="5">
        <f>COUNTIF('2_Token'!$D$6:$AK$6,$A61)</f>
        <v/>
      </c>
      <c r="D61" s="5">
        <f>COUNTIF('2_Token'!$D$7:$AK$7,$A61)</f>
        <v/>
      </c>
      <c r="E61" s="5">
        <f>COUNTIF('2_Token'!$D$8:$AK$8,$A61)</f>
        <v/>
      </c>
      <c r="F61" s="5">
        <f>COUNTIF('2_Token'!$D$9:$AK$9,$A61)</f>
        <v/>
      </c>
      <c r="G61" s="5">
        <f>COUNTIF('2_Token'!$D$10:$AK$10,$A61)</f>
        <v/>
      </c>
      <c r="H61" s="5">
        <f>COUNTIF('2_Token'!$D$11:$AK$11,$A61)</f>
        <v/>
      </c>
      <c r="I61" s="5">
        <f>COUNTIF('2_Token'!$D$12:$AK$12,$A61)</f>
        <v/>
      </c>
      <c r="J61" s="5">
        <f>COUNTIF('2_Token'!$D$13:$AK$13,$A61)</f>
        <v/>
      </c>
      <c r="K61" s="5">
        <f>COUNTIF('2_Token'!$D$14:$AK$14,$A61)</f>
        <v/>
      </c>
      <c r="L61" s="5">
        <f>COUNTIF('2_Token'!$D$15:$AK$15,$A61)</f>
        <v/>
      </c>
      <c r="M61" s="5">
        <f>COUNTIF('2_Token'!$D$16:$AK$16,$A61)</f>
        <v/>
      </c>
      <c r="N61" s="5">
        <f>SUM(B61:M61)</f>
        <v/>
      </c>
    </row>
    <row r="62">
      <c r="A62" s="6" t="inlineStr">
        <is>
          <t>hujan</t>
        </is>
      </c>
      <c r="B62" s="5">
        <f>COUNTIF('2_Token'!$D$5:$AK$5,$A62)</f>
        <v/>
      </c>
      <c r="C62" s="5">
        <f>COUNTIF('2_Token'!$D$6:$AK$6,$A62)</f>
        <v/>
      </c>
      <c r="D62" s="5">
        <f>COUNTIF('2_Token'!$D$7:$AK$7,$A62)</f>
        <v/>
      </c>
      <c r="E62" s="5">
        <f>COUNTIF('2_Token'!$D$8:$AK$8,$A62)</f>
        <v/>
      </c>
      <c r="F62" s="5">
        <f>COUNTIF('2_Token'!$D$9:$AK$9,$A62)</f>
        <v/>
      </c>
      <c r="G62" s="5">
        <f>COUNTIF('2_Token'!$D$10:$AK$10,$A62)</f>
        <v/>
      </c>
      <c r="H62" s="5">
        <f>COUNTIF('2_Token'!$D$11:$AK$11,$A62)</f>
        <v/>
      </c>
      <c r="I62" s="5">
        <f>COUNTIF('2_Token'!$D$12:$AK$12,$A62)</f>
        <v/>
      </c>
      <c r="J62" s="5">
        <f>COUNTIF('2_Token'!$D$13:$AK$13,$A62)</f>
        <v/>
      </c>
      <c r="K62" s="5">
        <f>COUNTIF('2_Token'!$D$14:$AK$14,$A62)</f>
        <v/>
      </c>
      <c r="L62" s="5">
        <f>COUNTIF('2_Token'!$D$15:$AK$15,$A62)</f>
        <v/>
      </c>
      <c r="M62" s="5">
        <f>COUNTIF('2_Token'!$D$16:$AK$16,$A62)</f>
        <v/>
      </c>
      <c r="N62" s="5">
        <f>SUM(B62:M62)</f>
        <v/>
      </c>
    </row>
    <row r="63">
      <c r="A63" s="6" t="inlineStr">
        <is>
          <t>ikan</t>
        </is>
      </c>
      <c r="B63" s="5">
        <f>COUNTIF('2_Token'!$D$5:$AK$5,$A63)</f>
        <v/>
      </c>
      <c r="C63" s="5">
        <f>COUNTIF('2_Token'!$D$6:$AK$6,$A63)</f>
        <v/>
      </c>
      <c r="D63" s="5">
        <f>COUNTIF('2_Token'!$D$7:$AK$7,$A63)</f>
        <v/>
      </c>
      <c r="E63" s="5">
        <f>COUNTIF('2_Token'!$D$8:$AK$8,$A63)</f>
        <v/>
      </c>
      <c r="F63" s="5">
        <f>COUNTIF('2_Token'!$D$9:$AK$9,$A63)</f>
        <v/>
      </c>
      <c r="G63" s="5">
        <f>COUNTIF('2_Token'!$D$10:$AK$10,$A63)</f>
        <v/>
      </c>
      <c r="H63" s="5">
        <f>COUNTIF('2_Token'!$D$11:$AK$11,$A63)</f>
        <v/>
      </c>
      <c r="I63" s="5">
        <f>COUNTIF('2_Token'!$D$12:$AK$12,$A63)</f>
        <v/>
      </c>
      <c r="J63" s="5">
        <f>COUNTIF('2_Token'!$D$13:$AK$13,$A63)</f>
        <v/>
      </c>
      <c r="K63" s="5">
        <f>COUNTIF('2_Token'!$D$14:$AK$14,$A63)</f>
        <v/>
      </c>
      <c r="L63" s="5">
        <f>COUNTIF('2_Token'!$D$15:$AK$15,$A63)</f>
        <v/>
      </c>
      <c r="M63" s="5">
        <f>COUNTIF('2_Token'!$D$16:$AK$16,$A63)</f>
        <v/>
      </c>
      <c r="N63" s="5">
        <f>SUM(B63:M63)</f>
        <v/>
      </c>
    </row>
    <row r="64">
      <c r="A64" s="6" t="inlineStr">
        <is>
          <t>ilham</t>
        </is>
      </c>
      <c r="B64" s="5">
        <f>COUNTIF('2_Token'!$D$5:$AK$5,$A64)</f>
        <v/>
      </c>
      <c r="C64" s="5">
        <f>COUNTIF('2_Token'!$D$6:$AK$6,$A64)</f>
        <v/>
      </c>
      <c r="D64" s="5">
        <f>COUNTIF('2_Token'!$D$7:$AK$7,$A64)</f>
        <v/>
      </c>
      <c r="E64" s="5">
        <f>COUNTIF('2_Token'!$D$8:$AK$8,$A64)</f>
        <v/>
      </c>
      <c r="F64" s="5">
        <f>COUNTIF('2_Token'!$D$9:$AK$9,$A64)</f>
        <v/>
      </c>
      <c r="G64" s="5">
        <f>COUNTIF('2_Token'!$D$10:$AK$10,$A64)</f>
        <v/>
      </c>
      <c r="H64" s="5">
        <f>COUNTIF('2_Token'!$D$11:$AK$11,$A64)</f>
        <v/>
      </c>
      <c r="I64" s="5">
        <f>COUNTIF('2_Token'!$D$12:$AK$12,$A64)</f>
        <v/>
      </c>
      <c r="J64" s="5">
        <f>COUNTIF('2_Token'!$D$13:$AK$13,$A64)</f>
        <v/>
      </c>
      <c r="K64" s="5">
        <f>COUNTIF('2_Token'!$D$14:$AK$14,$A64)</f>
        <v/>
      </c>
      <c r="L64" s="5">
        <f>COUNTIF('2_Token'!$D$15:$AK$15,$A64)</f>
        <v/>
      </c>
      <c r="M64" s="5">
        <f>COUNTIF('2_Token'!$D$16:$AK$16,$A64)</f>
        <v/>
      </c>
      <c r="N64" s="5">
        <f>SUM(B64:M64)</f>
        <v/>
      </c>
    </row>
    <row r="65">
      <c r="A65" s="6" t="inlineStr">
        <is>
          <t>imam</t>
        </is>
      </c>
      <c r="B65" s="5">
        <f>COUNTIF('2_Token'!$D$5:$AK$5,$A65)</f>
        <v/>
      </c>
      <c r="C65" s="5">
        <f>COUNTIF('2_Token'!$D$6:$AK$6,$A65)</f>
        <v/>
      </c>
      <c r="D65" s="5">
        <f>COUNTIF('2_Token'!$D$7:$AK$7,$A65)</f>
        <v/>
      </c>
      <c r="E65" s="5">
        <f>COUNTIF('2_Token'!$D$8:$AK$8,$A65)</f>
        <v/>
      </c>
      <c r="F65" s="5">
        <f>COUNTIF('2_Token'!$D$9:$AK$9,$A65)</f>
        <v/>
      </c>
      <c r="G65" s="5">
        <f>COUNTIF('2_Token'!$D$10:$AK$10,$A65)</f>
        <v/>
      </c>
      <c r="H65" s="5">
        <f>COUNTIF('2_Token'!$D$11:$AK$11,$A65)</f>
        <v/>
      </c>
      <c r="I65" s="5">
        <f>COUNTIF('2_Token'!$D$12:$AK$12,$A65)</f>
        <v/>
      </c>
      <c r="J65" s="5">
        <f>COUNTIF('2_Token'!$D$13:$AK$13,$A65)</f>
        <v/>
      </c>
      <c r="K65" s="5">
        <f>COUNTIF('2_Token'!$D$14:$AK$14,$A65)</f>
        <v/>
      </c>
      <c r="L65" s="5">
        <f>COUNTIF('2_Token'!$D$15:$AK$15,$A65)</f>
        <v/>
      </c>
      <c r="M65" s="5">
        <f>COUNTIF('2_Token'!$D$16:$AK$16,$A65)</f>
        <v/>
      </c>
      <c r="N65" s="5">
        <f>SUM(B65:M65)</f>
        <v/>
      </c>
    </row>
    <row r="66">
      <c r="A66" s="6" t="inlineStr">
        <is>
          <t>indonesia</t>
        </is>
      </c>
      <c r="B66" s="5">
        <f>COUNTIF('2_Token'!$D$5:$AK$5,$A66)</f>
        <v/>
      </c>
      <c r="C66" s="5">
        <f>COUNTIF('2_Token'!$D$6:$AK$6,$A66)</f>
        <v/>
      </c>
      <c r="D66" s="5">
        <f>COUNTIF('2_Token'!$D$7:$AK$7,$A66)</f>
        <v/>
      </c>
      <c r="E66" s="5">
        <f>COUNTIF('2_Token'!$D$8:$AK$8,$A66)</f>
        <v/>
      </c>
      <c r="F66" s="5">
        <f>COUNTIF('2_Token'!$D$9:$AK$9,$A66)</f>
        <v/>
      </c>
      <c r="G66" s="5">
        <f>COUNTIF('2_Token'!$D$10:$AK$10,$A66)</f>
        <v/>
      </c>
      <c r="H66" s="5">
        <f>COUNTIF('2_Token'!$D$11:$AK$11,$A66)</f>
        <v/>
      </c>
      <c r="I66" s="5">
        <f>COUNTIF('2_Token'!$D$12:$AK$12,$A66)</f>
        <v/>
      </c>
      <c r="J66" s="5">
        <f>COUNTIF('2_Token'!$D$13:$AK$13,$A66)</f>
        <v/>
      </c>
      <c r="K66" s="5">
        <f>COUNTIF('2_Token'!$D$14:$AK$14,$A66)</f>
        <v/>
      </c>
      <c r="L66" s="5">
        <f>COUNTIF('2_Token'!$D$15:$AK$15,$A66)</f>
        <v/>
      </c>
      <c r="M66" s="5">
        <f>COUNTIF('2_Token'!$D$16:$AK$16,$A66)</f>
        <v/>
      </c>
      <c r="N66" s="5">
        <f>SUM(B66:M66)</f>
        <v/>
      </c>
    </row>
    <row r="67">
      <c r="A67" s="6" t="inlineStr">
        <is>
          <t>indrawati</t>
        </is>
      </c>
      <c r="B67" s="5">
        <f>COUNTIF('2_Token'!$D$5:$AK$5,$A67)</f>
        <v/>
      </c>
      <c r="C67" s="5">
        <f>COUNTIF('2_Token'!$D$6:$AK$6,$A67)</f>
        <v/>
      </c>
      <c r="D67" s="5">
        <f>COUNTIF('2_Token'!$D$7:$AK$7,$A67)</f>
        <v/>
      </c>
      <c r="E67" s="5">
        <f>COUNTIF('2_Token'!$D$8:$AK$8,$A67)</f>
        <v/>
      </c>
      <c r="F67" s="5">
        <f>COUNTIF('2_Token'!$D$9:$AK$9,$A67)</f>
        <v/>
      </c>
      <c r="G67" s="5">
        <f>COUNTIF('2_Token'!$D$10:$AK$10,$A67)</f>
        <v/>
      </c>
      <c r="H67" s="5">
        <f>COUNTIF('2_Token'!$D$11:$AK$11,$A67)</f>
        <v/>
      </c>
      <c r="I67" s="5">
        <f>COUNTIF('2_Token'!$D$12:$AK$12,$A67)</f>
        <v/>
      </c>
      <c r="J67" s="5">
        <f>COUNTIF('2_Token'!$D$13:$AK$13,$A67)</f>
        <v/>
      </c>
      <c r="K67" s="5">
        <f>COUNTIF('2_Token'!$D$14:$AK$14,$A67)</f>
        <v/>
      </c>
      <c r="L67" s="5">
        <f>COUNTIF('2_Token'!$D$15:$AK$15,$A67)</f>
        <v/>
      </c>
      <c r="M67" s="5">
        <f>COUNTIF('2_Token'!$D$16:$AK$16,$A67)</f>
        <v/>
      </c>
      <c r="N67" s="5">
        <f>SUM(B67:M67)</f>
        <v/>
      </c>
    </row>
    <row r="68">
      <c r="A68" s="6" t="inlineStr">
        <is>
          <t>industri</t>
        </is>
      </c>
      <c r="B68" s="5">
        <f>COUNTIF('2_Token'!$D$5:$AK$5,$A68)</f>
        <v/>
      </c>
      <c r="C68" s="5">
        <f>COUNTIF('2_Token'!$D$6:$AK$6,$A68)</f>
        <v/>
      </c>
      <c r="D68" s="5">
        <f>COUNTIF('2_Token'!$D$7:$AK$7,$A68)</f>
        <v/>
      </c>
      <c r="E68" s="5">
        <f>COUNTIF('2_Token'!$D$8:$AK$8,$A68)</f>
        <v/>
      </c>
      <c r="F68" s="5">
        <f>COUNTIF('2_Token'!$D$9:$AK$9,$A68)</f>
        <v/>
      </c>
      <c r="G68" s="5">
        <f>COUNTIF('2_Token'!$D$10:$AK$10,$A68)</f>
        <v/>
      </c>
      <c r="H68" s="5">
        <f>COUNTIF('2_Token'!$D$11:$AK$11,$A68)</f>
        <v/>
      </c>
      <c r="I68" s="5">
        <f>COUNTIF('2_Token'!$D$12:$AK$12,$A68)</f>
        <v/>
      </c>
      <c r="J68" s="5">
        <f>COUNTIF('2_Token'!$D$13:$AK$13,$A68)</f>
        <v/>
      </c>
      <c r="K68" s="5">
        <f>COUNTIF('2_Token'!$D$14:$AK$14,$A68)</f>
        <v/>
      </c>
      <c r="L68" s="5">
        <f>COUNTIF('2_Token'!$D$15:$AK$15,$A68)</f>
        <v/>
      </c>
      <c r="M68" s="5">
        <f>COUNTIF('2_Token'!$D$16:$AK$16,$A68)</f>
        <v/>
      </c>
      <c r="N68" s="5">
        <f>SUM(B68:M68)</f>
        <v/>
      </c>
    </row>
    <row r="69">
      <c r="A69" s="6" t="inlineStr">
        <is>
          <t>ingat</t>
        </is>
      </c>
      <c r="B69" s="5">
        <f>COUNTIF('2_Token'!$D$5:$AK$5,$A69)</f>
        <v/>
      </c>
      <c r="C69" s="5">
        <f>COUNTIF('2_Token'!$D$6:$AK$6,$A69)</f>
        <v/>
      </c>
      <c r="D69" s="5">
        <f>COUNTIF('2_Token'!$D$7:$AK$7,$A69)</f>
        <v/>
      </c>
      <c r="E69" s="5">
        <f>COUNTIF('2_Token'!$D$8:$AK$8,$A69)</f>
        <v/>
      </c>
      <c r="F69" s="5">
        <f>COUNTIF('2_Token'!$D$9:$AK$9,$A69)</f>
        <v/>
      </c>
      <c r="G69" s="5">
        <f>COUNTIF('2_Token'!$D$10:$AK$10,$A69)</f>
        <v/>
      </c>
      <c r="H69" s="5">
        <f>COUNTIF('2_Token'!$D$11:$AK$11,$A69)</f>
        <v/>
      </c>
      <c r="I69" s="5">
        <f>COUNTIF('2_Token'!$D$12:$AK$12,$A69)</f>
        <v/>
      </c>
      <c r="J69" s="5">
        <f>COUNTIF('2_Token'!$D$13:$AK$13,$A69)</f>
        <v/>
      </c>
      <c r="K69" s="5">
        <f>COUNTIF('2_Token'!$D$14:$AK$14,$A69)</f>
        <v/>
      </c>
      <c r="L69" s="5">
        <f>COUNTIF('2_Token'!$D$15:$AK$15,$A69)</f>
        <v/>
      </c>
      <c r="M69" s="5">
        <f>COUNTIF('2_Token'!$D$16:$AK$16,$A69)</f>
        <v/>
      </c>
      <c r="N69" s="5">
        <f>SUM(B69:M69)</f>
        <v/>
      </c>
    </row>
    <row r="70">
      <c r="A70" s="6" t="inlineStr">
        <is>
          <t>interaksi</t>
        </is>
      </c>
      <c r="B70" s="5">
        <f>COUNTIF('2_Token'!$D$5:$AK$5,$A70)</f>
        <v/>
      </c>
      <c r="C70" s="5">
        <f>COUNTIF('2_Token'!$D$6:$AK$6,$A70)</f>
        <v/>
      </c>
      <c r="D70" s="5">
        <f>COUNTIF('2_Token'!$D$7:$AK$7,$A70)</f>
        <v/>
      </c>
      <c r="E70" s="5">
        <f>COUNTIF('2_Token'!$D$8:$AK$8,$A70)</f>
        <v/>
      </c>
      <c r="F70" s="5">
        <f>COUNTIF('2_Token'!$D$9:$AK$9,$A70)</f>
        <v/>
      </c>
      <c r="G70" s="5">
        <f>COUNTIF('2_Token'!$D$10:$AK$10,$A70)</f>
        <v/>
      </c>
      <c r="H70" s="5">
        <f>COUNTIF('2_Token'!$D$11:$AK$11,$A70)</f>
        <v/>
      </c>
      <c r="I70" s="5">
        <f>COUNTIF('2_Token'!$D$12:$AK$12,$A70)</f>
        <v/>
      </c>
      <c r="J70" s="5">
        <f>COUNTIF('2_Token'!$D$13:$AK$13,$A70)</f>
        <v/>
      </c>
      <c r="K70" s="5">
        <f>COUNTIF('2_Token'!$D$14:$AK$14,$A70)</f>
        <v/>
      </c>
      <c r="L70" s="5">
        <f>COUNTIF('2_Token'!$D$15:$AK$15,$A70)</f>
        <v/>
      </c>
      <c r="M70" s="5">
        <f>COUNTIF('2_Token'!$D$16:$AK$16,$A70)</f>
        <v/>
      </c>
      <c r="N70" s="5">
        <f>SUM(B70:M70)</f>
        <v/>
      </c>
    </row>
    <row r="71">
      <c r="A71" s="6" t="inlineStr">
        <is>
          <t>iqbal</t>
        </is>
      </c>
      <c r="B71" s="5">
        <f>COUNTIF('2_Token'!$D$5:$AK$5,$A71)</f>
        <v/>
      </c>
      <c r="C71" s="5">
        <f>COUNTIF('2_Token'!$D$6:$AK$6,$A71)</f>
        <v/>
      </c>
      <c r="D71" s="5">
        <f>COUNTIF('2_Token'!$D$7:$AK$7,$A71)</f>
        <v/>
      </c>
      <c r="E71" s="5">
        <f>COUNTIF('2_Token'!$D$8:$AK$8,$A71)</f>
        <v/>
      </c>
      <c r="F71" s="5">
        <f>COUNTIF('2_Token'!$D$9:$AK$9,$A71)</f>
        <v/>
      </c>
      <c r="G71" s="5">
        <f>COUNTIF('2_Token'!$D$10:$AK$10,$A71)</f>
        <v/>
      </c>
      <c r="H71" s="5">
        <f>COUNTIF('2_Token'!$D$11:$AK$11,$A71)</f>
        <v/>
      </c>
      <c r="I71" s="5">
        <f>COUNTIF('2_Token'!$D$12:$AK$12,$A71)</f>
        <v/>
      </c>
      <c r="J71" s="5">
        <f>COUNTIF('2_Token'!$D$13:$AK$13,$A71)</f>
        <v/>
      </c>
      <c r="K71" s="5">
        <f>COUNTIF('2_Token'!$D$14:$AK$14,$A71)</f>
        <v/>
      </c>
      <c r="L71" s="5">
        <f>COUNTIF('2_Token'!$D$15:$AK$15,$A71)</f>
        <v/>
      </c>
      <c r="M71" s="5">
        <f>COUNTIF('2_Token'!$D$16:$AK$16,$A71)</f>
        <v/>
      </c>
      <c r="N71" s="5">
        <f>SUM(B71:M71)</f>
        <v/>
      </c>
    </row>
    <row r="72">
      <c r="A72" s="6" t="inlineStr">
        <is>
          <t>israel</t>
        </is>
      </c>
      <c r="B72" s="5">
        <f>COUNTIF('2_Token'!$D$5:$AK$5,$A72)</f>
        <v/>
      </c>
      <c r="C72" s="5">
        <f>COUNTIF('2_Token'!$D$6:$AK$6,$A72)</f>
        <v/>
      </c>
      <c r="D72" s="5">
        <f>COUNTIF('2_Token'!$D$7:$AK$7,$A72)</f>
        <v/>
      </c>
      <c r="E72" s="5">
        <f>COUNTIF('2_Token'!$D$8:$AK$8,$A72)</f>
        <v/>
      </c>
      <c r="F72" s="5">
        <f>COUNTIF('2_Token'!$D$9:$AK$9,$A72)</f>
        <v/>
      </c>
      <c r="G72" s="5">
        <f>COUNTIF('2_Token'!$D$10:$AK$10,$A72)</f>
        <v/>
      </c>
      <c r="H72" s="5">
        <f>COUNTIF('2_Token'!$D$11:$AK$11,$A72)</f>
        <v/>
      </c>
      <c r="I72" s="5">
        <f>COUNTIF('2_Token'!$D$12:$AK$12,$A72)</f>
        <v/>
      </c>
      <c r="J72" s="5">
        <f>COUNTIF('2_Token'!$D$13:$AK$13,$A72)</f>
        <v/>
      </c>
      <c r="K72" s="5">
        <f>COUNTIF('2_Token'!$D$14:$AK$14,$A72)</f>
        <v/>
      </c>
      <c r="L72" s="5">
        <f>COUNTIF('2_Token'!$D$15:$AK$15,$A72)</f>
        <v/>
      </c>
      <c r="M72" s="5">
        <f>COUNTIF('2_Token'!$D$16:$AK$16,$A72)</f>
        <v/>
      </c>
      <c r="N72" s="5">
        <f>SUM(B72:M72)</f>
        <v/>
      </c>
    </row>
    <row r="73">
      <c r="A73" s="6" t="inlineStr">
        <is>
          <t>isu</t>
        </is>
      </c>
      <c r="B73" s="5">
        <f>COUNTIF('2_Token'!$D$5:$AK$5,$A73)</f>
        <v/>
      </c>
      <c r="C73" s="5">
        <f>COUNTIF('2_Token'!$D$6:$AK$6,$A73)</f>
        <v/>
      </c>
      <c r="D73" s="5">
        <f>COUNTIF('2_Token'!$D$7:$AK$7,$A73)</f>
        <v/>
      </c>
      <c r="E73" s="5">
        <f>COUNTIF('2_Token'!$D$8:$AK$8,$A73)</f>
        <v/>
      </c>
      <c r="F73" s="5">
        <f>COUNTIF('2_Token'!$D$9:$AK$9,$A73)</f>
        <v/>
      </c>
      <c r="G73" s="5">
        <f>COUNTIF('2_Token'!$D$10:$AK$10,$A73)</f>
        <v/>
      </c>
      <c r="H73" s="5">
        <f>COUNTIF('2_Token'!$D$11:$AK$11,$A73)</f>
        <v/>
      </c>
      <c r="I73" s="5">
        <f>COUNTIF('2_Token'!$D$12:$AK$12,$A73)</f>
        <v/>
      </c>
      <c r="J73" s="5">
        <f>COUNTIF('2_Token'!$D$13:$AK$13,$A73)</f>
        <v/>
      </c>
      <c r="K73" s="5">
        <f>COUNTIF('2_Token'!$D$14:$AK$14,$A73)</f>
        <v/>
      </c>
      <c r="L73" s="5">
        <f>COUNTIF('2_Token'!$D$15:$AK$15,$A73)</f>
        <v/>
      </c>
      <c r="M73" s="5">
        <f>COUNTIF('2_Token'!$D$16:$AK$16,$A73)</f>
        <v/>
      </c>
      <c r="N73" s="5">
        <f>SUM(B73:M73)</f>
        <v/>
      </c>
    </row>
    <row r="74">
      <c r="A74" s="6" t="inlineStr">
        <is>
          <t>jabat</t>
        </is>
      </c>
      <c r="B74" s="5">
        <f>COUNTIF('2_Token'!$D$5:$AK$5,$A74)</f>
        <v/>
      </c>
      <c r="C74" s="5">
        <f>COUNTIF('2_Token'!$D$6:$AK$6,$A74)</f>
        <v/>
      </c>
      <c r="D74" s="5">
        <f>COUNTIF('2_Token'!$D$7:$AK$7,$A74)</f>
        <v/>
      </c>
      <c r="E74" s="5">
        <f>COUNTIF('2_Token'!$D$8:$AK$8,$A74)</f>
        <v/>
      </c>
      <c r="F74" s="5">
        <f>COUNTIF('2_Token'!$D$9:$AK$9,$A74)</f>
        <v/>
      </c>
      <c r="G74" s="5">
        <f>COUNTIF('2_Token'!$D$10:$AK$10,$A74)</f>
        <v/>
      </c>
      <c r="H74" s="5">
        <f>COUNTIF('2_Token'!$D$11:$AK$11,$A74)</f>
        <v/>
      </c>
      <c r="I74" s="5">
        <f>COUNTIF('2_Token'!$D$12:$AK$12,$A74)</f>
        <v/>
      </c>
      <c r="J74" s="5">
        <f>COUNTIF('2_Token'!$D$13:$AK$13,$A74)</f>
        <v/>
      </c>
      <c r="K74" s="5">
        <f>COUNTIF('2_Token'!$D$14:$AK$14,$A74)</f>
        <v/>
      </c>
      <c r="L74" s="5">
        <f>COUNTIF('2_Token'!$D$15:$AK$15,$A74)</f>
        <v/>
      </c>
      <c r="M74" s="5">
        <f>COUNTIF('2_Token'!$D$16:$AK$16,$A74)</f>
        <v/>
      </c>
      <c r="N74" s="5">
        <f>SUM(B74:M74)</f>
        <v/>
      </c>
    </row>
    <row r="75">
      <c r="A75" s="6" t="inlineStr">
        <is>
          <t>jadi</t>
        </is>
      </c>
      <c r="B75" s="5">
        <f>COUNTIF('2_Token'!$D$5:$AK$5,$A75)</f>
        <v/>
      </c>
      <c r="C75" s="5">
        <f>COUNTIF('2_Token'!$D$6:$AK$6,$A75)</f>
        <v/>
      </c>
      <c r="D75" s="5">
        <f>COUNTIF('2_Token'!$D$7:$AK$7,$A75)</f>
        <v/>
      </c>
      <c r="E75" s="5">
        <f>COUNTIF('2_Token'!$D$8:$AK$8,$A75)</f>
        <v/>
      </c>
      <c r="F75" s="5">
        <f>COUNTIF('2_Token'!$D$9:$AK$9,$A75)</f>
        <v/>
      </c>
      <c r="G75" s="5">
        <f>COUNTIF('2_Token'!$D$10:$AK$10,$A75)</f>
        <v/>
      </c>
      <c r="H75" s="5">
        <f>COUNTIF('2_Token'!$D$11:$AK$11,$A75)</f>
        <v/>
      </c>
      <c r="I75" s="5">
        <f>COUNTIF('2_Token'!$D$12:$AK$12,$A75)</f>
        <v/>
      </c>
      <c r="J75" s="5">
        <f>COUNTIF('2_Token'!$D$13:$AK$13,$A75)</f>
        <v/>
      </c>
      <c r="K75" s="5">
        <f>COUNTIF('2_Token'!$D$14:$AK$14,$A75)</f>
        <v/>
      </c>
      <c r="L75" s="5">
        <f>COUNTIF('2_Token'!$D$15:$AK$15,$A75)</f>
        <v/>
      </c>
      <c r="M75" s="5">
        <f>COUNTIF('2_Token'!$D$16:$AK$16,$A75)</f>
        <v/>
      </c>
      <c r="N75" s="5">
        <f>SUM(B75:M75)</f>
        <v/>
      </c>
    </row>
    <row r="76">
      <c r="A76" s="6" t="inlineStr">
        <is>
          <t>jakarta</t>
        </is>
      </c>
      <c r="B76" s="5">
        <f>COUNTIF('2_Token'!$D$5:$AK$5,$A76)</f>
        <v/>
      </c>
      <c r="C76" s="5">
        <f>COUNTIF('2_Token'!$D$6:$AK$6,$A76)</f>
        <v/>
      </c>
      <c r="D76" s="5">
        <f>COUNTIF('2_Token'!$D$7:$AK$7,$A76)</f>
        <v/>
      </c>
      <c r="E76" s="5">
        <f>COUNTIF('2_Token'!$D$8:$AK$8,$A76)</f>
        <v/>
      </c>
      <c r="F76" s="5">
        <f>COUNTIF('2_Token'!$D$9:$AK$9,$A76)</f>
        <v/>
      </c>
      <c r="G76" s="5">
        <f>COUNTIF('2_Token'!$D$10:$AK$10,$A76)</f>
        <v/>
      </c>
      <c r="H76" s="5">
        <f>COUNTIF('2_Token'!$D$11:$AK$11,$A76)</f>
        <v/>
      </c>
      <c r="I76" s="5">
        <f>COUNTIF('2_Token'!$D$12:$AK$12,$A76)</f>
        <v/>
      </c>
      <c r="J76" s="5">
        <f>COUNTIF('2_Token'!$D$13:$AK$13,$A76)</f>
        <v/>
      </c>
      <c r="K76" s="5">
        <f>COUNTIF('2_Token'!$D$14:$AK$14,$A76)</f>
        <v/>
      </c>
      <c r="L76" s="5">
        <f>COUNTIF('2_Token'!$D$15:$AK$15,$A76)</f>
        <v/>
      </c>
      <c r="M76" s="5">
        <f>COUNTIF('2_Token'!$D$16:$AK$16,$A76)</f>
        <v/>
      </c>
      <c r="N76" s="5">
        <f>SUM(B76:M76)</f>
        <v/>
      </c>
    </row>
    <row r="77">
      <c r="A77" s="6" t="inlineStr">
        <is>
          <t>jalan</t>
        </is>
      </c>
      <c r="B77" s="5">
        <f>COUNTIF('2_Token'!$D$5:$AK$5,$A77)</f>
        <v/>
      </c>
      <c r="C77" s="5">
        <f>COUNTIF('2_Token'!$D$6:$AK$6,$A77)</f>
        <v/>
      </c>
      <c r="D77" s="5">
        <f>COUNTIF('2_Token'!$D$7:$AK$7,$A77)</f>
        <v/>
      </c>
      <c r="E77" s="5">
        <f>COUNTIF('2_Token'!$D$8:$AK$8,$A77)</f>
        <v/>
      </c>
      <c r="F77" s="5">
        <f>COUNTIF('2_Token'!$D$9:$AK$9,$A77)</f>
        <v/>
      </c>
      <c r="G77" s="5">
        <f>COUNTIF('2_Token'!$D$10:$AK$10,$A77)</f>
        <v/>
      </c>
      <c r="H77" s="5">
        <f>COUNTIF('2_Token'!$D$11:$AK$11,$A77)</f>
        <v/>
      </c>
      <c r="I77" s="5">
        <f>COUNTIF('2_Token'!$D$12:$AK$12,$A77)</f>
        <v/>
      </c>
      <c r="J77" s="5">
        <f>COUNTIF('2_Token'!$D$13:$AK$13,$A77)</f>
        <v/>
      </c>
      <c r="K77" s="5">
        <f>COUNTIF('2_Token'!$D$14:$AK$14,$A77)</f>
        <v/>
      </c>
      <c r="L77" s="5">
        <f>COUNTIF('2_Token'!$D$15:$AK$15,$A77)</f>
        <v/>
      </c>
      <c r="M77" s="5">
        <f>COUNTIF('2_Token'!$D$16:$AK$16,$A77)</f>
        <v/>
      </c>
      <c r="N77" s="5">
        <f>SUM(B77:M77)</f>
        <v/>
      </c>
    </row>
    <row r="78">
      <c r="A78" s="6" t="inlineStr">
        <is>
          <t>jelang</t>
        </is>
      </c>
      <c r="B78" s="5">
        <f>COUNTIF('2_Token'!$D$5:$AK$5,$A78)</f>
        <v/>
      </c>
      <c r="C78" s="5">
        <f>COUNTIF('2_Token'!$D$6:$AK$6,$A78)</f>
        <v/>
      </c>
      <c r="D78" s="5">
        <f>COUNTIF('2_Token'!$D$7:$AK$7,$A78)</f>
        <v/>
      </c>
      <c r="E78" s="5">
        <f>COUNTIF('2_Token'!$D$8:$AK$8,$A78)</f>
        <v/>
      </c>
      <c r="F78" s="5">
        <f>COUNTIF('2_Token'!$D$9:$AK$9,$A78)</f>
        <v/>
      </c>
      <c r="G78" s="5">
        <f>COUNTIF('2_Token'!$D$10:$AK$10,$A78)</f>
        <v/>
      </c>
      <c r="H78" s="5">
        <f>COUNTIF('2_Token'!$D$11:$AK$11,$A78)</f>
        <v/>
      </c>
      <c r="I78" s="5">
        <f>COUNTIF('2_Token'!$D$12:$AK$12,$A78)</f>
        <v/>
      </c>
      <c r="J78" s="5">
        <f>COUNTIF('2_Token'!$D$13:$AK$13,$A78)</f>
        <v/>
      </c>
      <c r="K78" s="5">
        <f>COUNTIF('2_Token'!$D$14:$AK$14,$A78)</f>
        <v/>
      </c>
      <c r="L78" s="5">
        <f>COUNTIF('2_Token'!$D$15:$AK$15,$A78)</f>
        <v/>
      </c>
      <c r="M78" s="5">
        <f>COUNTIF('2_Token'!$D$16:$AK$16,$A78)</f>
        <v/>
      </c>
      <c r="N78" s="5">
        <f>SUM(B78:M78)</f>
        <v/>
      </c>
    </row>
    <row r="79">
      <c r="A79" s="6" t="inlineStr">
        <is>
          <t>jojon</t>
        </is>
      </c>
      <c r="B79" s="5">
        <f>COUNTIF('2_Token'!$D$5:$AK$5,$A79)</f>
        <v/>
      </c>
      <c r="C79" s="5">
        <f>COUNTIF('2_Token'!$D$6:$AK$6,$A79)</f>
        <v/>
      </c>
      <c r="D79" s="5">
        <f>COUNTIF('2_Token'!$D$7:$AK$7,$A79)</f>
        <v/>
      </c>
      <c r="E79" s="5">
        <f>COUNTIF('2_Token'!$D$8:$AK$8,$A79)</f>
        <v/>
      </c>
      <c r="F79" s="5">
        <f>COUNTIF('2_Token'!$D$9:$AK$9,$A79)</f>
        <v/>
      </c>
      <c r="G79" s="5">
        <f>COUNTIF('2_Token'!$D$10:$AK$10,$A79)</f>
        <v/>
      </c>
      <c r="H79" s="5">
        <f>COUNTIF('2_Token'!$D$11:$AK$11,$A79)</f>
        <v/>
      </c>
      <c r="I79" s="5">
        <f>COUNTIF('2_Token'!$D$12:$AK$12,$A79)</f>
        <v/>
      </c>
      <c r="J79" s="5">
        <f>COUNTIF('2_Token'!$D$13:$AK$13,$A79)</f>
        <v/>
      </c>
      <c r="K79" s="5">
        <f>COUNTIF('2_Token'!$D$14:$AK$14,$A79)</f>
        <v/>
      </c>
      <c r="L79" s="5">
        <f>COUNTIF('2_Token'!$D$15:$AK$15,$A79)</f>
        <v/>
      </c>
      <c r="M79" s="5">
        <f>COUNTIF('2_Token'!$D$16:$AK$16,$A79)</f>
        <v/>
      </c>
      <c r="N79" s="5">
        <f>SUM(B79:M79)</f>
        <v/>
      </c>
    </row>
    <row r="80">
      <c r="A80" s="6" t="inlineStr">
        <is>
          <t>joko</t>
        </is>
      </c>
      <c r="B80" s="5">
        <f>COUNTIF('2_Token'!$D$5:$AK$5,$A80)</f>
        <v/>
      </c>
      <c r="C80" s="5">
        <f>COUNTIF('2_Token'!$D$6:$AK$6,$A80)</f>
        <v/>
      </c>
      <c r="D80" s="5">
        <f>COUNTIF('2_Token'!$D$7:$AK$7,$A80)</f>
        <v/>
      </c>
      <c r="E80" s="5">
        <f>COUNTIF('2_Token'!$D$8:$AK$8,$A80)</f>
        <v/>
      </c>
      <c r="F80" s="5">
        <f>COUNTIF('2_Token'!$D$9:$AK$9,$A80)</f>
        <v/>
      </c>
      <c r="G80" s="5">
        <f>COUNTIF('2_Token'!$D$10:$AK$10,$A80)</f>
        <v/>
      </c>
      <c r="H80" s="5">
        <f>COUNTIF('2_Token'!$D$11:$AK$11,$A80)</f>
        <v/>
      </c>
      <c r="I80" s="5">
        <f>COUNTIF('2_Token'!$D$12:$AK$12,$A80)</f>
        <v/>
      </c>
      <c r="J80" s="5">
        <f>COUNTIF('2_Token'!$D$13:$AK$13,$A80)</f>
        <v/>
      </c>
      <c r="K80" s="5">
        <f>COUNTIF('2_Token'!$D$14:$AK$14,$A80)</f>
        <v/>
      </c>
      <c r="L80" s="5">
        <f>COUNTIF('2_Token'!$D$15:$AK$15,$A80)</f>
        <v/>
      </c>
      <c r="M80" s="5">
        <f>COUNTIF('2_Token'!$D$16:$AK$16,$A80)</f>
        <v/>
      </c>
      <c r="N80" s="5">
        <f>SUM(B80:M80)</f>
        <v/>
      </c>
    </row>
    <row r="81">
      <c r="A81" s="6" t="inlineStr">
        <is>
          <t>jual</t>
        </is>
      </c>
      <c r="B81" s="5">
        <f>COUNTIF('2_Token'!$D$5:$AK$5,$A81)</f>
        <v/>
      </c>
      <c r="C81" s="5">
        <f>COUNTIF('2_Token'!$D$6:$AK$6,$A81)</f>
        <v/>
      </c>
      <c r="D81" s="5">
        <f>COUNTIF('2_Token'!$D$7:$AK$7,$A81)</f>
        <v/>
      </c>
      <c r="E81" s="5">
        <f>COUNTIF('2_Token'!$D$8:$AK$8,$A81)</f>
        <v/>
      </c>
      <c r="F81" s="5">
        <f>COUNTIF('2_Token'!$D$9:$AK$9,$A81)</f>
        <v/>
      </c>
      <c r="G81" s="5">
        <f>COUNTIF('2_Token'!$D$10:$AK$10,$A81)</f>
        <v/>
      </c>
      <c r="H81" s="5">
        <f>COUNTIF('2_Token'!$D$11:$AK$11,$A81)</f>
        <v/>
      </c>
      <c r="I81" s="5">
        <f>COUNTIF('2_Token'!$D$12:$AK$12,$A81)</f>
        <v/>
      </c>
      <c r="J81" s="5">
        <f>COUNTIF('2_Token'!$D$13:$AK$13,$A81)</f>
        <v/>
      </c>
      <c r="K81" s="5">
        <f>COUNTIF('2_Token'!$D$14:$AK$14,$A81)</f>
        <v/>
      </c>
      <c r="L81" s="5">
        <f>COUNTIF('2_Token'!$D$15:$AK$15,$A81)</f>
        <v/>
      </c>
      <c r="M81" s="5">
        <f>COUNTIF('2_Token'!$D$16:$AK$16,$A81)</f>
        <v/>
      </c>
      <c r="N81" s="5">
        <f>SUM(B81:M81)</f>
        <v/>
      </c>
    </row>
    <row r="82">
      <c r="A82" s="6" t="inlineStr">
        <is>
          <t>kabinet</t>
        </is>
      </c>
      <c r="B82" s="5">
        <f>COUNTIF('2_Token'!$D$5:$AK$5,$A82)</f>
        <v/>
      </c>
      <c r="C82" s="5">
        <f>COUNTIF('2_Token'!$D$6:$AK$6,$A82)</f>
        <v/>
      </c>
      <c r="D82" s="5">
        <f>COUNTIF('2_Token'!$D$7:$AK$7,$A82)</f>
        <v/>
      </c>
      <c r="E82" s="5">
        <f>COUNTIF('2_Token'!$D$8:$AK$8,$A82)</f>
        <v/>
      </c>
      <c r="F82" s="5">
        <f>COUNTIF('2_Token'!$D$9:$AK$9,$A82)</f>
        <v/>
      </c>
      <c r="G82" s="5">
        <f>COUNTIF('2_Token'!$D$10:$AK$10,$A82)</f>
        <v/>
      </c>
      <c r="H82" s="5">
        <f>COUNTIF('2_Token'!$D$11:$AK$11,$A82)</f>
        <v/>
      </c>
      <c r="I82" s="5">
        <f>COUNTIF('2_Token'!$D$12:$AK$12,$A82)</f>
        <v/>
      </c>
      <c r="J82" s="5">
        <f>COUNTIF('2_Token'!$D$13:$AK$13,$A82)</f>
        <v/>
      </c>
      <c r="K82" s="5">
        <f>COUNTIF('2_Token'!$D$14:$AK$14,$A82)</f>
        <v/>
      </c>
      <c r="L82" s="5">
        <f>COUNTIF('2_Token'!$D$15:$AK$15,$A82)</f>
        <v/>
      </c>
      <c r="M82" s="5">
        <f>COUNTIF('2_Token'!$D$16:$AK$16,$A82)</f>
        <v/>
      </c>
      <c r="N82" s="5">
        <f>SUM(B82:M82)</f>
        <v/>
      </c>
    </row>
    <row r="83">
      <c r="A83" s="6" t="inlineStr">
        <is>
          <t>kabupaten</t>
        </is>
      </c>
      <c r="B83" s="5">
        <f>COUNTIF('2_Token'!$D$5:$AK$5,$A83)</f>
        <v/>
      </c>
      <c r="C83" s="5">
        <f>COUNTIF('2_Token'!$D$6:$AK$6,$A83)</f>
        <v/>
      </c>
      <c r="D83" s="5">
        <f>COUNTIF('2_Token'!$D$7:$AK$7,$A83)</f>
        <v/>
      </c>
      <c r="E83" s="5">
        <f>COUNTIF('2_Token'!$D$8:$AK$8,$A83)</f>
        <v/>
      </c>
      <c r="F83" s="5">
        <f>COUNTIF('2_Token'!$D$9:$AK$9,$A83)</f>
        <v/>
      </c>
      <c r="G83" s="5">
        <f>COUNTIF('2_Token'!$D$10:$AK$10,$A83)</f>
        <v/>
      </c>
      <c r="H83" s="5">
        <f>COUNTIF('2_Token'!$D$11:$AK$11,$A83)</f>
        <v/>
      </c>
      <c r="I83" s="5">
        <f>COUNTIF('2_Token'!$D$12:$AK$12,$A83)</f>
        <v/>
      </c>
      <c r="J83" s="5">
        <f>COUNTIF('2_Token'!$D$13:$AK$13,$A83)</f>
        <v/>
      </c>
      <c r="K83" s="5">
        <f>COUNTIF('2_Token'!$D$14:$AK$14,$A83)</f>
        <v/>
      </c>
      <c r="L83" s="5">
        <f>COUNTIF('2_Token'!$D$15:$AK$15,$A83)</f>
        <v/>
      </c>
      <c r="M83" s="5">
        <f>COUNTIF('2_Token'!$D$16:$AK$16,$A83)</f>
        <v/>
      </c>
      <c r="N83" s="5">
        <f>SUM(B83:M83)</f>
        <v/>
      </c>
    </row>
    <row r="84">
      <c r="A84" s="6" t="inlineStr">
        <is>
          <t>karbon</t>
        </is>
      </c>
      <c r="B84" s="5">
        <f>COUNTIF('2_Token'!$D$5:$AK$5,$A84)</f>
        <v/>
      </c>
      <c r="C84" s="5">
        <f>COUNTIF('2_Token'!$D$6:$AK$6,$A84)</f>
        <v/>
      </c>
      <c r="D84" s="5">
        <f>COUNTIF('2_Token'!$D$7:$AK$7,$A84)</f>
        <v/>
      </c>
      <c r="E84" s="5">
        <f>COUNTIF('2_Token'!$D$8:$AK$8,$A84)</f>
        <v/>
      </c>
      <c r="F84" s="5">
        <f>COUNTIF('2_Token'!$D$9:$AK$9,$A84)</f>
        <v/>
      </c>
      <c r="G84" s="5">
        <f>COUNTIF('2_Token'!$D$10:$AK$10,$A84)</f>
        <v/>
      </c>
      <c r="H84" s="5">
        <f>COUNTIF('2_Token'!$D$11:$AK$11,$A84)</f>
        <v/>
      </c>
      <c r="I84" s="5">
        <f>COUNTIF('2_Token'!$D$12:$AK$12,$A84)</f>
        <v/>
      </c>
      <c r="J84" s="5">
        <f>COUNTIF('2_Token'!$D$13:$AK$13,$A84)</f>
        <v/>
      </c>
      <c r="K84" s="5">
        <f>COUNTIF('2_Token'!$D$14:$AK$14,$A84)</f>
        <v/>
      </c>
      <c r="L84" s="5">
        <f>COUNTIF('2_Token'!$D$15:$AK$15,$A84)</f>
        <v/>
      </c>
      <c r="M84" s="5">
        <f>COUNTIF('2_Token'!$D$16:$AK$16,$A84)</f>
        <v/>
      </c>
      <c r="N84" s="5">
        <f>SUM(B84:M84)</f>
        <v/>
      </c>
    </row>
    <row r="85">
      <c r="A85" s="6" t="inlineStr">
        <is>
          <t>kartasasmita</t>
        </is>
      </c>
      <c r="B85" s="5">
        <f>COUNTIF('2_Token'!$D$5:$AK$5,$A85)</f>
        <v/>
      </c>
      <c r="C85" s="5">
        <f>COUNTIF('2_Token'!$D$6:$AK$6,$A85)</f>
        <v/>
      </c>
      <c r="D85" s="5">
        <f>COUNTIF('2_Token'!$D$7:$AK$7,$A85)</f>
        <v/>
      </c>
      <c r="E85" s="5">
        <f>COUNTIF('2_Token'!$D$8:$AK$8,$A85)</f>
        <v/>
      </c>
      <c r="F85" s="5">
        <f>COUNTIF('2_Token'!$D$9:$AK$9,$A85)</f>
        <v/>
      </c>
      <c r="G85" s="5">
        <f>COUNTIF('2_Token'!$D$10:$AK$10,$A85)</f>
        <v/>
      </c>
      <c r="H85" s="5">
        <f>COUNTIF('2_Token'!$D$11:$AK$11,$A85)</f>
        <v/>
      </c>
      <c r="I85" s="5">
        <f>COUNTIF('2_Token'!$D$12:$AK$12,$A85)</f>
        <v/>
      </c>
      <c r="J85" s="5">
        <f>COUNTIF('2_Token'!$D$13:$AK$13,$A85)</f>
        <v/>
      </c>
      <c r="K85" s="5">
        <f>COUNTIF('2_Token'!$D$14:$AK$14,$A85)</f>
        <v/>
      </c>
      <c r="L85" s="5">
        <f>COUNTIF('2_Token'!$D$15:$AK$15,$A85)</f>
        <v/>
      </c>
      <c r="M85" s="5">
        <f>COUNTIF('2_Token'!$D$16:$AK$16,$A85)</f>
        <v/>
      </c>
      <c r="N85" s="5">
        <f>SUM(B85:M85)</f>
        <v/>
      </c>
    </row>
    <row r="86">
      <c r="A86" s="6" t="inlineStr">
        <is>
          <t>kata</t>
        </is>
      </c>
      <c r="B86" s="5">
        <f>COUNTIF('2_Token'!$D$5:$AK$5,$A86)</f>
        <v/>
      </c>
      <c r="C86" s="5">
        <f>COUNTIF('2_Token'!$D$6:$AK$6,$A86)</f>
        <v/>
      </c>
      <c r="D86" s="5">
        <f>COUNTIF('2_Token'!$D$7:$AK$7,$A86)</f>
        <v/>
      </c>
      <c r="E86" s="5">
        <f>COUNTIF('2_Token'!$D$8:$AK$8,$A86)</f>
        <v/>
      </c>
      <c r="F86" s="5">
        <f>COUNTIF('2_Token'!$D$9:$AK$9,$A86)</f>
        <v/>
      </c>
      <c r="G86" s="5">
        <f>COUNTIF('2_Token'!$D$10:$AK$10,$A86)</f>
        <v/>
      </c>
      <c r="H86" s="5">
        <f>COUNTIF('2_Token'!$D$11:$AK$11,$A86)</f>
        <v/>
      </c>
      <c r="I86" s="5">
        <f>COUNTIF('2_Token'!$D$12:$AK$12,$A86)</f>
        <v/>
      </c>
      <c r="J86" s="5">
        <f>COUNTIF('2_Token'!$D$13:$AK$13,$A86)</f>
        <v/>
      </c>
      <c r="K86" s="5">
        <f>COUNTIF('2_Token'!$D$14:$AK$14,$A86)</f>
        <v/>
      </c>
      <c r="L86" s="5">
        <f>COUNTIF('2_Token'!$D$15:$AK$15,$A86)</f>
        <v/>
      </c>
      <c r="M86" s="5">
        <f>COUNTIF('2_Token'!$D$16:$AK$16,$A86)</f>
        <v/>
      </c>
      <c r="N86" s="5">
        <f>SUM(B86:M86)</f>
        <v/>
      </c>
    </row>
    <row r="87">
      <c r="A87" s="6" t="inlineStr">
        <is>
          <t>kelapa</t>
        </is>
      </c>
      <c r="B87" s="5">
        <f>COUNTIF('2_Token'!$D$5:$AK$5,$A87)</f>
        <v/>
      </c>
      <c r="C87" s="5">
        <f>COUNTIF('2_Token'!$D$6:$AK$6,$A87)</f>
        <v/>
      </c>
      <c r="D87" s="5">
        <f>COUNTIF('2_Token'!$D$7:$AK$7,$A87)</f>
        <v/>
      </c>
      <c r="E87" s="5">
        <f>COUNTIF('2_Token'!$D$8:$AK$8,$A87)</f>
        <v/>
      </c>
      <c r="F87" s="5">
        <f>COUNTIF('2_Token'!$D$9:$AK$9,$A87)</f>
        <v/>
      </c>
      <c r="G87" s="5">
        <f>COUNTIF('2_Token'!$D$10:$AK$10,$A87)</f>
        <v/>
      </c>
      <c r="H87" s="5">
        <f>COUNTIF('2_Token'!$D$11:$AK$11,$A87)</f>
        <v/>
      </c>
      <c r="I87" s="5">
        <f>COUNTIF('2_Token'!$D$12:$AK$12,$A87)</f>
        <v/>
      </c>
      <c r="J87" s="5">
        <f>COUNTIF('2_Token'!$D$13:$AK$13,$A87)</f>
        <v/>
      </c>
      <c r="K87" s="5">
        <f>COUNTIF('2_Token'!$D$14:$AK$14,$A87)</f>
        <v/>
      </c>
      <c r="L87" s="5">
        <f>COUNTIF('2_Token'!$D$15:$AK$15,$A87)</f>
        <v/>
      </c>
      <c r="M87" s="5">
        <f>COUNTIF('2_Token'!$D$16:$AK$16,$A87)</f>
        <v/>
      </c>
      <c r="N87" s="5">
        <f>SUM(B87:M87)</f>
        <v/>
      </c>
    </row>
    <row r="88">
      <c r="A88" s="6" t="inlineStr">
        <is>
          <t>kembang</t>
        </is>
      </c>
      <c r="B88" s="5">
        <f>COUNTIF('2_Token'!$D$5:$AK$5,$A88)</f>
        <v/>
      </c>
      <c r="C88" s="5">
        <f>COUNTIF('2_Token'!$D$6:$AK$6,$A88)</f>
        <v/>
      </c>
      <c r="D88" s="5">
        <f>COUNTIF('2_Token'!$D$7:$AK$7,$A88)</f>
        <v/>
      </c>
      <c r="E88" s="5">
        <f>COUNTIF('2_Token'!$D$8:$AK$8,$A88)</f>
        <v/>
      </c>
      <c r="F88" s="5">
        <f>COUNTIF('2_Token'!$D$9:$AK$9,$A88)</f>
        <v/>
      </c>
      <c r="G88" s="5">
        <f>COUNTIF('2_Token'!$D$10:$AK$10,$A88)</f>
        <v/>
      </c>
      <c r="H88" s="5">
        <f>COUNTIF('2_Token'!$D$11:$AK$11,$A88)</f>
        <v/>
      </c>
      <c r="I88" s="5">
        <f>COUNTIF('2_Token'!$D$12:$AK$12,$A88)</f>
        <v/>
      </c>
      <c r="J88" s="5">
        <f>COUNTIF('2_Token'!$D$13:$AK$13,$A88)</f>
        <v/>
      </c>
      <c r="K88" s="5">
        <f>COUNTIF('2_Token'!$D$14:$AK$14,$A88)</f>
        <v/>
      </c>
      <c r="L88" s="5">
        <f>COUNTIF('2_Token'!$D$15:$AK$15,$A88)</f>
        <v/>
      </c>
      <c r="M88" s="5">
        <f>COUNTIF('2_Token'!$D$16:$AK$16,$A88)</f>
        <v/>
      </c>
      <c r="N88" s="5">
        <f>SUM(B88:M88)</f>
        <v/>
      </c>
    </row>
    <row r="89">
      <c r="A89" s="6" t="inlineStr">
        <is>
          <t>kendali</t>
        </is>
      </c>
      <c r="B89" s="5">
        <f>COUNTIF('2_Token'!$D$5:$AK$5,$A89)</f>
        <v/>
      </c>
      <c r="C89" s="5">
        <f>COUNTIF('2_Token'!$D$6:$AK$6,$A89)</f>
        <v/>
      </c>
      <c r="D89" s="5">
        <f>COUNTIF('2_Token'!$D$7:$AK$7,$A89)</f>
        <v/>
      </c>
      <c r="E89" s="5">
        <f>COUNTIF('2_Token'!$D$8:$AK$8,$A89)</f>
        <v/>
      </c>
      <c r="F89" s="5">
        <f>COUNTIF('2_Token'!$D$9:$AK$9,$A89)</f>
        <v/>
      </c>
      <c r="G89" s="5">
        <f>COUNTIF('2_Token'!$D$10:$AK$10,$A89)</f>
        <v/>
      </c>
      <c r="H89" s="5">
        <f>COUNTIF('2_Token'!$D$11:$AK$11,$A89)</f>
        <v/>
      </c>
      <c r="I89" s="5">
        <f>COUNTIF('2_Token'!$D$12:$AK$12,$A89)</f>
        <v/>
      </c>
      <c r="J89" s="5">
        <f>COUNTIF('2_Token'!$D$13:$AK$13,$A89)</f>
        <v/>
      </c>
      <c r="K89" s="5">
        <f>COUNTIF('2_Token'!$D$14:$AK$14,$A89)</f>
        <v/>
      </c>
      <c r="L89" s="5">
        <f>COUNTIF('2_Token'!$D$15:$AK$15,$A89)</f>
        <v/>
      </c>
      <c r="M89" s="5">
        <f>COUNTIF('2_Token'!$D$16:$AK$16,$A89)</f>
        <v/>
      </c>
      <c r="N89" s="5">
        <f>SUM(B89:M89)</f>
        <v/>
      </c>
    </row>
    <row r="90">
      <c r="A90" s="6" t="inlineStr">
        <is>
          <t>kepala</t>
        </is>
      </c>
      <c r="B90" s="5">
        <f>COUNTIF('2_Token'!$D$5:$AK$5,$A90)</f>
        <v/>
      </c>
      <c r="C90" s="5">
        <f>COUNTIF('2_Token'!$D$6:$AK$6,$A90)</f>
        <v/>
      </c>
      <c r="D90" s="5">
        <f>COUNTIF('2_Token'!$D$7:$AK$7,$A90)</f>
        <v/>
      </c>
      <c r="E90" s="5">
        <f>COUNTIF('2_Token'!$D$8:$AK$8,$A90)</f>
        <v/>
      </c>
      <c r="F90" s="5">
        <f>COUNTIF('2_Token'!$D$9:$AK$9,$A90)</f>
        <v/>
      </c>
      <c r="G90" s="5">
        <f>COUNTIF('2_Token'!$D$10:$AK$10,$A90)</f>
        <v/>
      </c>
      <c r="H90" s="5">
        <f>COUNTIF('2_Token'!$D$11:$AK$11,$A90)</f>
        <v/>
      </c>
      <c r="I90" s="5">
        <f>COUNTIF('2_Token'!$D$12:$AK$12,$A90)</f>
        <v/>
      </c>
      <c r="J90" s="5">
        <f>COUNTIF('2_Token'!$D$13:$AK$13,$A90)</f>
        <v/>
      </c>
      <c r="K90" s="5">
        <f>COUNTIF('2_Token'!$D$14:$AK$14,$A90)</f>
        <v/>
      </c>
      <c r="L90" s="5">
        <f>COUNTIF('2_Token'!$D$15:$AK$15,$A90)</f>
        <v/>
      </c>
      <c r="M90" s="5">
        <f>COUNTIF('2_Token'!$D$16:$AK$16,$A90)</f>
        <v/>
      </c>
      <c r="N90" s="5">
        <f>SUM(B90:M90)</f>
        <v/>
      </c>
    </row>
    <row r="91">
      <c r="A91" s="6" t="inlineStr">
        <is>
          <t>komitmen</t>
        </is>
      </c>
      <c r="B91" s="5">
        <f>COUNTIF('2_Token'!$D$5:$AK$5,$A91)</f>
        <v/>
      </c>
      <c r="C91" s="5">
        <f>COUNTIF('2_Token'!$D$6:$AK$6,$A91)</f>
        <v/>
      </c>
      <c r="D91" s="5">
        <f>COUNTIF('2_Token'!$D$7:$AK$7,$A91)</f>
        <v/>
      </c>
      <c r="E91" s="5">
        <f>COUNTIF('2_Token'!$D$8:$AK$8,$A91)</f>
        <v/>
      </c>
      <c r="F91" s="5">
        <f>COUNTIF('2_Token'!$D$9:$AK$9,$A91)</f>
        <v/>
      </c>
      <c r="G91" s="5">
        <f>COUNTIF('2_Token'!$D$10:$AK$10,$A91)</f>
        <v/>
      </c>
      <c r="H91" s="5">
        <f>COUNTIF('2_Token'!$D$11:$AK$11,$A91)</f>
        <v/>
      </c>
      <c r="I91" s="5">
        <f>COUNTIF('2_Token'!$D$12:$AK$12,$A91)</f>
        <v/>
      </c>
      <c r="J91" s="5">
        <f>COUNTIF('2_Token'!$D$13:$AK$13,$A91)</f>
        <v/>
      </c>
      <c r="K91" s="5">
        <f>COUNTIF('2_Token'!$D$14:$AK$14,$A91)</f>
        <v/>
      </c>
      <c r="L91" s="5">
        <f>COUNTIF('2_Token'!$D$15:$AK$15,$A91)</f>
        <v/>
      </c>
      <c r="M91" s="5">
        <f>COUNTIF('2_Token'!$D$16:$AK$16,$A91)</f>
        <v/>
      </c>
      <c r="N91" s="5">
        <f>SUM(B91:M91)</f>
        <v/>
      </c>
    </row>
    <row r="92">
      <c r="A92" s="6" t="inlineStr">
        <is>
          <t>komoditas</t>
        </is>
      </c>
      <c r="B92" s="5">
        <f>COUNTIF('2_Token'!$D$5:$AK$5,$A92)</f>
        <v/>
      </c>
      <c r="C92" s="5">
        <f>COUNTIF('2_Token'!$D$6:$AK$6,$A92)</f>
        <v/>
      </c>
      <c r="D92" s="5">
        <f>COUNTIF('2_Token'!$D$7:$AK$7,$A92)</f>
        <v/>
      </c>
      <c r="E92" s="5">
        <f>COUNTIF('2_Token'!$D$8:$AK$8,$A92)</f>
        <v/>
      </c>
      <c r="F92" s="5">
        <f>COUNTIF('2_Token'!$D$9:$AK$9,$A92)</f>
        <v/>
      </c>
      <c r="G92" s="5">
        <f>COUNTIF('2_Token'!$D$10:$AK$10,$A92)</f>
        <v/>
      </c>
      <c r="H92" s="5">
        <f>COUNTIF('2_Token'!$D$11:$AK$11,$A92)</f>
        <v/>
      </c>
      <c r="I92" s="5">
        <f>COUNTIF('2_Token'!$D$12:$AK$12,$A92)</f>
        <v/>
      </c>
      <c r="J92" s="5">
        <f>COUNTIF('2_Token'!$D$13:$AK$13,$A92)</f>
        <v/>
      </c>
      <c r="K92" s="5">
        <f>COUNTIF('2_Token'!$D$14:$AK$14,$A92)</f>
        <v/>
      </c>
      <c r="L92" s="5">
        <f>COUNTIF('2_Token'!$D$15:$AK$15,$A92)</f>
        <v/>
      </c>
      <c r="M92" s="5">
        <f>COUNTIF('2_Token'!$D$16:$AK$16,$A92)</f>
        <v/>
      </c>
      <c r="N92" s="5">
        <f>SUM(B92:M92)</f>
        <v/>
      </c>
    </row>
    <row r="93">
      <c r="A93" s="6" t="inlineStr">
        <is>
          <t>kontroversi</t>
        </is>
      </c>
      <c r="B93" s="5">
        <f>COUNTIF('2_Token'!$D$5:$AK$5,$A93)</f>
        <v/>
      </c>
      <c r="C93" s="5">
        <f>COUNTIF('2_Token'!$D$6:$AK$6,$A93)</f>
        <v/>
      </c>
      <c r="D93" s="5">
        <f>COUNTIF('2_Token'!$D$7:$AK$7,$A93)</f>
        <v/>
      </c>
      <c r="E93" s="5">
        <f>COUNTIF('2_Token'!$D$8:$AK$8,$A93)</f>
        <v/>
      </c>
      <c r="F93" s="5">
        <f>COUNTIF('2_Token'!$D$9:$AK$9,$A93)</f>
        <v/>
      </c>
      <c r="G93" s="5">
        <f>COUNTIF('2_Token'!$D$10:$AK$10,$A93)</f>
        <v/>
      </c>
      <c r="H93" s="5">
        <f>COUNTIF('2_Token'!$D$11:$AK$11,$A93)</f>
        <v/>
      </c>
      <c r="I93" s="5">
        <f>COUNTIF('2_Token'!$D$12:$AK$12,$A93)</f>
        <v/>
      </c>
      <c r="J93" s="5">
        <f>COUNTIF('2_Token'!$D$13:$AK$13,$A93)</f>
        <v/>
      </c>
      <c r="K93" s="5">
        <f>COUNTIF('2_Token'!$D$14:$AK$14,$A93)</f>
        <v/>
      </c>
      <c r="L93" s="5">
        <f>COUNTIF('2_Token'!$D$15:$AK$15,$A93)</f>
        <v/>
      </c>
      <c r="M93" s="5">
        <f>COUNTIF('2_Token'!$D$16:$AK$16,$A93)</f>
        <v/>
      </c>
      <c r="N93" s="5">
        <f>SUM(B93:M93)</f>
        <v/>
      </c>
    </row>
    <row r="94">
      <c r="A94" s="6" t="inlineStr">
        <is>
          <t>kopi</t>
        </is>
      </c>
      <c r="B94" s="5">
        <f>COUNTIF('2_Token'!$D$5:$AK$5,$A94)</f>
        <v/>
      </c>
      <c r="C94" s="5">
        <f>COUNTIF('2_Token'!$D$6:$AK$6,$A94)</f>
        <v/>
      </c>
      <c r="D94" s="5">
        <f>COUNTIF('2_Token'!$D$7:$AK$7,$A94)</f>
        <v/>
      </c>
      <c r="E94" s="5">
        <f>COUNTIF('2_Token'!$D$8:$AK$8,$A94)</f>
        <v/>
      </c>
      <c r="F94" s="5">
        <f>COUNTIF('2_Token'!$D$9:$AK$9,$A94)</f>
        <v/>
      </c>
      <c r="G94" s="5">
        <f>COUNTIF('2_Token'!$D$10:$AK$10,$A94)</f>
        <v/>
      </c>
      <c r="H94" s="5">
        <f>COUNTIF('2_Token'!$D$11:$AK$11,$A94)</f>
        <v/>
      </c>
      <c r="I94" s="5">
        <f>COUNTIF('2_Token'!$D$12:$AK$12,$A94)</f>
        <v/>
      </c>
      <c r="J94" s="5">
        <f>COUNTIF('2_Token'!$D$13:$AK$13,$A94)</f>
        <v/>
      </c>
      <c r="K94" s="5">
        <f>COUNTIF('2_Token'!$D$14:$AK$14,$A94)</f>
        <v/>
      </c>
      <c r="L94" s="5">
        <f>COUNTIF('2_Token'!$D$15:$AK$15,$A94)</f>
        <v/>
      </c>
      <c r="M94" s="5">
        <f>COUNTIF('2_Token'!$D$16:$AK$16,$A94)</f>
        <v/>
      </c>
      <c r="N94" s="5">
        <f>SUM(B94:M94)</f>
        <v/>
      </c>
    </row>
    <row r="95">
      <c r="A95" s="6" t="inlineStr">
        <is>
          <t>lagi</t>
        </is>
      </c>
      <c r="B95" s="5">
        <f>COUNTIF('2_Token'!$D$5:$AK$5,$A95)</f>
        <v/>
      </c>
      <c r="C95" s="5">
        <f>COUNTIF('2_Token'!$D$6:$AK$6,$A95)</f>
        <v/>
      </c>
      <c r="D95" s="5">
        <f>COUNTIF('2_Token'!$D$7:$AK$7,$A95)</f>
        <v/>
      </c>
      <c r="E95" s="5">
        <f>COUNTIF('2_Token'!$D$8:$AK$8,$A95)</f>
        <v/>
      </c>
      <c r="F95" s="5">
        <f>COUNTIF('2_Token'!$D$9:$AK$9,$A95)</f>
        <v/>
      </c>
      <c r="G95" s="5">
        <f>COUNTIF('2_Token'!$D$10:$AK$10,$A95)</f>
        <v/>
      </c>
      <c r="H95" s="5">
        <f>COUNTIF('2_Token'!$D$11:$AK$11,$A95)</f>
        <v/>
      </c>
      <c r="I95" s="5">
        <f>COUNTIF('2_Token'!$D$12:$AK$12,$A95)</f>
        <v/>
      </c>
      <c r="J95" s="5">
        <f>COUNTIF('2_Token'!$D$13:$AK$13,$A95)</f>
        <v/>
      </c>
      <c r="K95" s="5">
        <f>COUNTIF('2_Token'!$D$14:$AK$14,$A95)</f>
        <v/>
      </c>
      <c r="L95" s="5">
        <f>COUNTIF('2_Token'!$D$15:$AK$15,$A95)</f>
        <v/>
      </c>
      <c r="M95" s="5">
        <f>COUNTIF('2_Token'!$D$16:$AK$16,$A95)</f>
        <v/>
      </c>
      <c r="N95" s="5">
        <f>SUM(B95:M95)</f>
        <v/>
      </c>
    </row>
    <row r="96">
      <c r="A96" s="6" t="inlineStr">
        <is>
          <t>lalu</t>
        </is>
      </c>
      <c r="B96" s="5">
        <f>COUNTIF('2_Token'!$D$5:$AK$5,$A96)</f>
        <v/>
      </c>
      <c r="C96" s="5">
        <f>COUNTIF('2_Token'!$D$6:$AK$6,$A96)</f>
        <v/>
      </c>
      <c r="D96" s="5">
        <f>COUNTIF('2_Token'!$D$7:$AK$7,$A96)</f>
        <v/>
      </c>
      <c r="E96" s="5">
        <f>COUNTIF('2_Token'!$D$8:$AK$8,$A96)</f>
        <v/>
      </c>
      <c r="F96" s="5">
        <f>COUNTIF('2_Token'!$D$9:$AK$9,$A96)</f>
        <v/>
      </c>
      <c r="G96" s="5">
        <f>COUNTIF('2_Token'!$D$10:$AK$10,$A96)</f>
        <v/>
      </c>
      <c r="H96" s="5">
        <f>COUNTIF('2_Token'!$D$11:$AK$11,$A96)</f>
        <v/>
      </c>
      <c r="I96" s="5">
        <f>COUNTIF('2_Token'!$D$12:$AK$12,$A96)</f>
        <v/>
      </c>
      <c r="J96" s="5">
        <f>COUNTIF('2_Token'!$D$13:$AK$13,$A96)</f>
        <v/>
      </c>
      <c r="K96" s="5">
        <f>COUNTIF('2_Token'!$D$14:$AK$14,$A96)</f>
        <v/>
      </c>
      <c r="L96" s="5">
        <f>COUNTIF('2_Token'!$D$15:$AK$15,$A96)</f>
        <v/>
      </c>
      <c r="M96" s="5">
        <f>COUNTIF('2_Token'!$D$16:$AK$16,$A96)</f>
        <v/>
      </c>
      <c r="N96" s="5">
        <f>SUM(B96:M96)</f>
        <v/>
      </c>
    </row>
    <row r="97">
      <c r="A97" s="6" t="inlineStr">
        <is>
          <t>lama</t>
        </is>
      </c>
      <c r="B97" s="5">
        <f>COUNTIF('2_Token'!$D$5:$AK$5,$A97)</f>
        <v/>
      </c>
      <c r="C97" s="5">
        <f>COUNTIF('2_Token'!$D$6:$AK$6,$A97)</f>
        <v/>
      </c>
      <c r="D97" s="5">
        <f>COUNTIF('2_Token'!$D$7:$AK$7,$A97)</f>
        <v/>
      </c>
      <c r="E97" s="5">
        <f>COUNTIF('2_Token'!$D$8:$AK$8,$A97)</f>
        <v/>
      </c>
      <c r="F97" s="5">
        <f>COUNTIF('2_Token'!$D$9:$AK$9,$A97)</f>
        <v/>
      </c>
      <c r="G97" s="5">
        <f>COUNTIF('2_Token'!$D$10:$AK$10,$A97)</f>
        <v/>
      </c>
      <c r="H97" s="5">
        <f>COUNTIF('2_Token'!$D$11:$AK$11,$A97)</f>
        <v/>
      </c>
      <c r="I97" s="5">
        <f>COUNTIF('2_Token'!$D$12:$AK$12,$A97)</f>
        <v/>
      </c>
      <c r="J97" s="5">
        <f>COUNTIF('2_Token'!$D$13:$AK$13,$A97)</f>
        <v/>
      </c>
      <c r="K97" s="5">
        <f>COUNTIF('2_Token'!$D$14:$AK$14,$A97)</f>
        <v/>
      </c>
      <c r="L97" s="5">
        <f>COUNTIF('2_Token'!$D$15:$AK$15,$A97)</f>
        <v/>
      </c>
      <c r="M97" s="5">
        <f>COUNTIF('2_Token'!$D$16:$AK$16,$A97)</f>
        <v/>
      </c>
      <c r="N97" s="5">
        <f>SUM(B97:M97)</f>
        <v/>
      </c>
    </row>
    <row r="98">
      <c r="A98" s="6" t="inlineStr">
        <is>
          <t>langkah</t>
        </is>
      </c>
      <c r="B98" s="5">
        <f>COUNTIF('2_Token'!$D$5:$AK$5,$A98)</f>
        <v/>
      </c>
      <c r="C98" s="5">
        <f>COUNTIF('2_Token'!$D$6:$AK$6,$A98)</f>
        <v/>
      </c>
      <c r="D98" s="5">
        <f>COUNTIF('2_Token'!$D$7:$AK$7,$A98)</f>
        <v/>
      </c>
      <c r="E98" s="5">
        <f>COUNTIF('2_Token'!$D$8:$AK$8,$A98)</f>
        <v/>
      </c>
      <c r="F98" s="5">
        <f>COUNTIF('2_Token'!$D$9:$AK$9,$A98)</f>
        <v/>
      </c>
      <c r="G98" s="5">
        <f>COUNTIF('2_Token'!$D$10:$AK$10,$A98)</f>
        <v/>
      </c>
      <c r="H98" s="5">
        <f>COUNTIF('2_Token'!$D$11:$AK$11,$A98)</f>
        <v/>
      </c>
      <c r="I98" s="5">
        <f>COUNTIF('2_Token'!$D$12:$AK$12,$A98)</f>
        <v/>
      </c>
      <c r="J98" s="5">
        <f>COUNTIF('2_Token'!$D$13:$AK$13,$A98)</f>
        <v/>
      </c>
      <c r="K98" s="5">
        <f>COUNTIF('2_Token'!$D$14:$AK$14,$A98)</f>
        <v/>
      </c>
      <c r="L98" s="5">
        <f>COUNTIF('2_Token'!$D$15:$AK$15,$A98)</f>
        <v/>
      </c>
      <c r="M98" s="5">
        <f>COUNTIF('2_Token'!$D$16:$AK$16,$A98)</f>
        <v/>
      </c>
      <c r="N98" s="5">
        <f>SUM(B98:M98)</f>
        <v/>
      </c>
    </row>
    <row r="99">
      <c r="A99" s="6" t="inlineStr">
        <is>
          <t>lantik</t>
        </is>
      </c>
      <c r="B99" s="5">
        <f>COUNTIF('2_Token'!$D$5:$AK$5,$A99)</f>
        <v/>
      </c>
      <c r="C99" s="5">
        <f>COUNTIF('2_Token'!$D$6:$AK$6,$A99)</f>
        <v/>
      </c>
      <c r="D99" s="5">
        <f>COUNTIF('2_Token'!$D$7:$AK$7,$A99)</f>
        <v/>
      </c>
      <c r="E99" s="5">
        <f>COUNTIF('2_Token'!$D$8:$AK$8,$A99)</f>
        <v/>
      </c>
      <c r="F99" s="5">
        <f>COUNTIF('2_Token'!$D$9:$AK$9,$A99)</f>
        <v/>
      </c>
      <c r="G99" s="5">
        <f>COUNTIF('2_Token'!$D$10:$AK$10,$A99)</f>
        <v/>
      </c>
      <c r="H99" s="5">
        <f>COUNTIF('2_Token'!$D$11:$AK$11,$A99)</f>
        <v/>
      </c>
      <c r="I99" s="5">
        <f>COUNTIF('2_Token'!$D$12:$AK$12,$A99)</f>
        <v/>
      </c>
      <c r="J99" s="5">
        <f>COUNTIF('2_Token'!$D$13:$AK$13,$A99)</f>
        <v/>
      </c>
      <c r="K99" s="5">
        <f>COUNTIF('2_Token'!$D$14:$AK$14,$A99)</f>
        <v/>
      </c>
      <c r="L99" s="5">
        <f>COUNTIF('2_Token'!$D$15:$AK$15,$A99)</f>
        <v/>
      </c>
      <c r="M99" s="5">
        <f>COUNTIF('2_Token'!$D$16:$AK$16,$A99)</f>
        <v/>
      </c>
      <c r="N99" s="5">
        <f>SUM(B99:M99)</f>
        <v/>
      </c>
    </row>
    <row r="100">
      <c r="A100" s="6" t="inlineStr">
        <is>
          <t>larang</t>
        </is>
      </c>
      <c r="B100" s="5">
        <f>COUNTIF('2_Token'!$D$5:$AK$5,$A100)</f>
        <v/>
      </c>
      <c r="C100" s="5">
        <f>COUNTIF('2_Token'!$D$6:$AK$6,$A100)</f>
        <v/>
      </c>
      <c r="D100" s="5">
        <f>COUNTIF('2_Token'!$D$7:$AK$7,$A100)</f>
        <v/>
      </c>
      <c r="E100" s="5">
        <f>COUNTIF('2_Token'!$D$8:$AK$8,$A100)</f>
        <v/>
      </c>
      <c r="F100" s="5">
        <f>COUNTIF('2_Token'!$D$9:$AK$9,$A100)</f>
        <v/>
      </c>
      <c r="G100" s="5">
        <f>COUNTIF('2_Token'!$D$10:$AK$10,$A100)</f>
        <v/>
      </c>
      <c r="H100" s="5">
        <f>COUNTIF('2_Token'!$D$11:$AK$11,$A100)</f>
        <v/>
      </c>
      <c r="I100" s="5">
        <f>COUNTIF('2_Token'!$D$12:$AK$12,$A100)</f>
        <v/>
      </c>
      <c r="J100" s="5">
        <f>COUNTIF('2_Token'!$D$13:$AK$13,$A100)</f>
        <v/>
      </c>
      <c r="K100" s="5">
        <f>COUNTIF('2_Token'!$D$14:$AK$14,$A100)</f>
        <v/>
      </c>
      <c r="L100" s="5">
        <f>COUNTIF('2_Token'!$D$15:$AK$15,$A100)</f>
        <v/>
      </c>
      <c r="M100" s="5">
        <f>COUNTIF('2_Token'!$D$16:$AK$16,$A100)</f>
        <v/>
      </c>
      <c r="N100" s="5">
        <f>SUM(B100:M100)</f>
        <v/>
      </c>
    </row>
    <row r="101">
      <c r="A101" s="6" t="inlineStr">
        <is>
          <t>laut</t>
        </is>
      </c>
      <c r="B101" s="5">
        <f>COUNTIF('2_Token'!$D$5:$AK$5,$A101)</f>
        <v/>
      </c>
      <c r="C101" s="5">
        <f>COUNTIF('2_Token'!$D$6:$AK$6,$A101)</f>
        <v/>
      </c>
      <c r="D101" s="5">
        <f>COUNTIF('2_Token'!$D$7:$AK$7,$A101)</f>
        <v/>
      </c>
      <c r="E101" s="5">
        <f>COUNTIF('2_Token'!$D$8:$AK$8,$A101)</f>
        <v/>
      </c>
      <c r="F101" s="5">
        <f>COUNTIF('2_Token'!$D$9:$AK$9,$A101)</f>
        <v/>
      </c>
      <c r="G101" s="5">
        <f>COUNTIF('2_Token'!$D$10:$AK$10,$A101)</f>
        <v/>
      </c>
      <c r="H101" s="5">
        <f>COUNTIF('2_Token'!$D$11:$AK$11,$A101)</f>
        <v/>
      </c>
      <c r="I101" s="5">
        <f>COUNTIF('2_Token'!$D$12:$AK$12,$A101)</f>
        <v/>
      </c>
      <c r="J101" s="5">
        <f>COUNTIF('2_Token'!$D$13:$AK$13,$A101)</f>
        <v/>
      </c>
      <c r="K101" s="5">
        <f>COUNTIF('2_Token'!$D$14:$AK$14,$A101)</f>
        <v/>
      </c>
      <c r="L101" s="5">
        <f>COUNTIF('2_Token'!$D$15:$AK$15,$A101)</f>
        <v/>
      </c>
      <c r="M101" s="5">
        <f>COUNTIF('2_Token'!$D$16:$AK$16,$A101)</f>
        <v/>
      </c>
      <c r="N101" s="5">
        <f>SUM(B101:M101)</f>
        <v/>
      </c>
    </row>
    <row r="102">
      <c r="A102" s="6" t="inlineStr">
        <is>
          <t>lebih</t>
        </is>
      </c>
      <c r="B102" s="5">
        <f>COUNTIF('2_Token'!$D$5:$AK$5,$A102)</f>
        <v/>
      </c>
      <c r="C102" s="5">
        <f>COUNTIF('2_Token'!$D$6:$AK$6,$A102)</f>
        <v/>
      </c>
      <c r="D102" s="5">
        <f>COUNTIF('2_Token'!$D$7:$AK$7,$A102)</f>
        <v/>
      </c>
      <c r="E102" s="5">
        <f>COUNTIF('2_Token'!$D$8:$AK$8,$A102)</f>
        <v/>
      </c>
      <c r="F102" s="5">
        <f>COUNTIF('2_Token'!$D$9:$AK$9,$A102)</f>
        <v/>
      </c>
      <c r="G102" s="5">
        <f>COUNTIF('2_Token'!$D$10:$AK$10,$A102)</f>
        <v/>
      </c>
      <c r="H102" s="5">
        <f>COUNTIF('2_Token'!$D$11:$AK$11,$A102)</f>
        <v/>
      </c>
      <c r="I102" s="5">
        <f>COUNTIF('2_Token'!$D$12:$AK$12,$A102)</f>
        <v/>
      </c>
      <c r="J102" s="5">
        <f>COUNTIF('2_Token'!$D$13:$AK$13,$A102)</f>
        <v/>
      </c>
      <c r="K102" s="5">
        <f>COUNTIF('2_Token'!$D$14:$AK$14,$A102)</f>
        <v/>
      </c>
      <c r="L102" s="5">
        <f>COUNTIF('2_Token'!$D$15:$AK$15,$A102)</f>
        <v/>
      </c>
      <c r="M102" s="5">
        <f>COUNTIF('2_Token'!$D$16:$AK$16,$A102)</f>
        <v/>
      </c>
      <c r="N102" s="5">
        <f>SUM(B102:M102)</f>
        <v/>
      </c>
    </row>
    <row r="103">
      <c r="A103" s="6" t="inlineStr">
        <is>
          <t>libat</t>
        </is>
      </c>
      <c r="B103" s="5">
        <f>COUNTIF('2_Token'!$D$5:$AK$5,$A103)</f>
        <v/>
      </c>
      <c r="C103" s="5">
        <f>COUNTIF('2_Token'!$D$6:$AK$6,$A103)</f>
        <v/>
      </c>
      <c r="D103" s="5">
        <f>COUNTIF('2_Token'!$D$7:$AK$7,$A103)</f>
        <v/>
      </c>
      <c r="E103" s="5">
        <f>COUNTIF('2_Token'!$D$8:$AK$8,$A103)</f>
        <v/>
      </c>
      <c r="F103" s="5">
        <f>COUNTIF('2_Token'!$D$9:$AK$9,$A103)</f>
        <v/>
      </c>
      <c r="G103" s="5">
        <f>COUNTIF('2_Token'!$D$10:$AK$10,$A103)</f>
        <v/>
      </c>
      <c r="H103" s="5">
        <f>COUNTIF('2_Token'!$D$11:$AK$11,$A103)</f>
        <v/>
      </c>
      <c r="I103" s="5">
        <f>COUNTIF('2_Token'!$D$12:$AK$12,$A103)</f>
        <v/>
      </c>
      <c r="J103" s="5">
        <f>COUNTIF('2_Token'!$D$13:$AK$13,$A103)</f>
        <v/>
      </c>
      <c r="K103" s="5">
        <f>COUNTIF('2_Token'!$D$14:$AK$14,$A103)</f>
        <v/>
      </c>
      <c r="L103" s="5">
        <f>COUNTIF('2_Token'!$D$15:$AK$15,$A103)</f>
        <v/>
      </c>
      <c r="M103" s="5">
        <f>COUNTIF('2_Token'!$D$16:$AK$16,$A103)</f>
        <v/>
      </c>
      <c r="N103" s="5">
        <f>SUM(B103:M103)</f>
        <v/>
      </c>
    </row>
    <row r="104">
      <c r="A104" s="6" t="inlineStr">
        <is>
          <t>lingkung</t>
        </is>
      </c>
      <c r="B104" s="5">
        <f>COUNTIF('2_Token'!$D$5:$AK$5,$A104)</f>
        <v/>
      </c>
      <c r="C104" s="5">
        <f>COUNTIF('2_Token'!$D$6:$AK$6,$A104)</f>
        <v/>
      </c>
      <c r="D104" s="5">
        <f>COUNTIF('2_Token'!$D$7:$AK$7,$A104)</f>
        <v/>
      </c>
      <c r="E104" s="5">
        <f>COUNTIF('2_Token'!$D$8:$AK$8,$A104)</f>
        <v/>
      </c>
      <c r="F104" s="5">
        <f>COUNTIF('2_Token'!$D$9:$AK$9,$A104)</f>
        <v/>
      </c>
      <c r="G104" s="5">
        <f>COUNTIF('2_Token'!$D$10:$AK$10,$A104)</f>
        <v/>
      </c>
      <c r="H104" s="5">
        <f>COUNTIF('2_Token'!$D$11:$AK$11,$A104)</f>
        <v/>
      </c>
      <c r="I104" s="5">
        <f>COUNTIF('2_Token'!$D$12:$AK$12,$A104)</f>
        <v/>
      </c>
      <c r="J104" s="5">
        <f>COUNTIF('2_Token'!$D$13:$AK$13,$A104)</f>
        <v/>
      </c>
      <c r="K104" s="5">
        <f>COUNTIF('2_Token'!$D$14:$AK$14,$A104)</f>
        <v/>
      </c>
      <c r="L104" s="5">
        <f>COUNTIF('2_Token'!$D$15:$AK$15,$A104)</f>
        <v/>
      </c>
      <c r="M104" s="5">
        <f>COUNTIF('2_Token'!$D$16:$AK$16,$A104)</f>
        <v/>
      </c>
      <c r="N104" s="5">
        <f>SUM(B104:M104)</f>
        <v/>
      </c>
    </row>
    <row r="105">
      <c r="A105" s="6" t="inlineStr">
        <is>
          <t>lintas</t>
        </is>
      </c>
      <c r="B105" s="5">
        <f>COUNTIF('2_Token'!$D$5:$AK$5,$A105)</f>
        <v/>
      </c>
      <c r="C105" s="5">
        <f>COUNTIF('2_Token'!$D$6:$AK$6,$A105)</f>
        <v/>
      </c>
      <c r="D105" s="5">
        <f>COUNTIF('2_Token'!$D$7:$AK$7,$A105)</f>
        <v/>
      </c>
      <c r="E105" s="5">
        <f>COUNTIF('2_Token'!$D$8:$AK$8,$A105)</f>
        <v/>
      </c>
      <c r="F105" s="5">
        <f>COUNTIF('2_Token'!$D$9:$AK$9,$A105)</f>
        <v/>
      </c>
      <c r="G105" s="5">
        <f>COUNTIF('2_Token'!$D$10:$AK$10,$A105)</f>
        <v/>
      </c>
      <c r="H105" s="5">
        <f>COUNTIF('2_Token'!$D$11:$AK$11,$A105)</f>
        <v/>
      </c>
      <c r="I105" s="5">
        <f>COUNTIF('2_Token'!$D$12:$AK$12,$A105)</f>
        <v/>
      </c>
      <c r="J105" s="5">
        <f>COUNTIF('2_Token'!$D$13:$AK$13,$A105)</f>
        <v/>
      </c>
      <c r="K105" s="5">
        <f>COUNTIF('2_Token'!$D$14:$AK$14,$A105)</f>
        <v/>
      </c>
      <c r="L105" s="5">
        <f>COUNTIF('2_Token'!$D$15:$AK$15,$A105)</f>
        <v/>
      </c>
      <c r="M105" s="5">
        <f>COUNTIF('2_Token'!$D$16:$AK$16,$A105)</f>
        <v/>
      </c>
      <c r="N105" s="5">
        <f>SUM(B105:M105)</f>
        <v/>
      </c>
    </row>
    <row r="106">
      <c r="A106" s="6" t="inlineStr">
        <is>
          <t>lokal</t>
        </is>
      </c>
      <c r="B106" s="5">
        <f>COUNTIF('2_Token'!$D$5:$AK$5,$A106)</f>
        <v/>
      </c>
      <c r="C106" s="5">
        <f>COUNTIF('2_Token'!$D$6:$AK$6,$A106)</f>
        <v/>
      </c>
      <c r="D106" s="5">
        <f>COUNTIF('2_Token'!$D$7:$AK$7,$A106)</f>
        <v/>
      </c>
      <c r="E106" s="5">
        <f>COUNTIF('2_Token'!$D$8:$AK$8,$A106)</f>
        <v/>
      </c>
      <c r="F106" s="5">
        <f>COUNTIF('2_Token'!$D$9:$AK$9,$A106)</f>
        <v/>
      </c>
      <c r="G106" s="5">
        <f>COUNTIF('2_Token'!$D$10:$AK$10,$A106)</f>
        <v/>
      </c>
      <c r="H106" s="5">
        <f>COUNTIF('2_Token'!$D$11:$AK$11,$A106)</f>
        <v/>
      </c>
      <c r="I106" s="5">
        <f>COUNTIF('2_Token'!$D$12:$AK$12,$A106)</f>
        <v/>
      </c>
      <c r="J106" s="5">
        <f>COUNTIF('2_Token'!$D$13:$AK$13,$A106)</f>
        <v/>
      </c>
      <c r="K106" s="5">
        <f>COUNTIF('2_Token'!$D$14:$AK$14,$A106)</f>
        <v/>
      </c>
      <c r="L106" s="5">
        <f>COUNTIF('2_Token'!$D$15:$AK$15,$A106)</f>
        <v/>
      </c>
      <c r="M106" s="5">
        <f>COUNTIF('2_Token'!$D$16:$AK$16,$A106)</f>
        <v/>
      </c>
      <c r="N106" s="5">
        <f>SUM(B106:M106)</f>
        <v/>
      </c>
    </row>
    <row r="107">
      <c r="A107" s="6" t="inlineStr">
        <is>
          <t>manfaat</t>
        </is>
      </c>
      <c r="B107" s="5">
        <f>COUNTIF('2_Token'!$D$5:$AK$5,$A107)</f>
        <v/>
      </c>
      <c r="C107" s="5">
        <f>COUNTIF('2_Token'!$D$6:$AK$6,$A107)</f>
        <v/>
      </c>
      <c r="D107" s="5">
        <f>COUNTIF('2_Token'!$D$7:$AK$7,$A107)</f>
        <v/>
      </c>
      <c r="E107" s="5">
        <f>COUNTIF('2_Token'!$D$8:$AK$8,$A107)</f>
        <v/>
      </c>
      <c r="F107" s="5">
        <f>COUNTIF('2_Token'!$D$9:$AK$9,$A107)</f>
        <v/>
      </c>
      <c r="G107" s="5">
        <f>COUNTIF('2_Token'!$D$10:$AK$10,$A107)</f>
        <v/>
      </c>
      <c r="H107" s="5">
        <f>COUNTIF('2_Token'!$D$11:$AK$11,$A107)</f>
        <v/>
      </c>
      <c r="I107" s="5">
        <f>COUNTIF('2_Token'!$D$12:$AK$12,$A107)</f>
        <v/>
      </c>
      <c r="J107" s="5">
        <f>COUNTIF('2_Token'!$D$13:$AK$13,$A107)</f>
        <v/>
      </c>
      <c r="K107" s="5">
        <f>COUNTIF('2_Token'!$D$14:$AK$14,$A107)</f>
        <v/>
      </c>
      <c r="L107" s="5">
        <f>COUNTIF('2_Token'!$D$15:$AK$15,$A107)</f>
        <v/>
      </c>
      <c r="M107" s="5">
        <f>COUNTIF('2_Token'!$D$16:$AK$16,$A107)</f>
        <v/>
      </c>
      <c r="N107" s="5">
        <f>SUM(B107:M107)</f>
        <v/>
      </c>
    </row>
    <row r="108">
      <c r="A108" s="6" t="inlineStr">
        <is>
          <t>mantan</t>
        </is>
      </c>
      <c r="B108" s="5">
        <f>COUNTIF('2_Token'!$D$5:$AK$5,$A108)</f>
        <v/>
      </c>
      <c r="C108" s="5">
        <f>COUNTIF('2_Token'!$D$6:$AK$6,$A108)</f>
        <v/>
      </c>
      <c r="D108" s="5">
        <f>COUNTIF('2_Token'!$D$7:$AK$7,$A108)</f>
        <v/>
      </c>
      <c r="E108" s="5">
        <f>COUNTIF('2_Token'!$D$8:$AK$8,$A108)</f>
        <v/>
      </c>
      <c r="F108" s="5">
        <f>COUNTIF('2_Token'!$D$9:$AK$9,$A108)</f>
        <v/>
      </c>
      <c r="G108" s="5">
        <f>COUNTIF('2_Token'!$D$10:$AK$10,$A108)</f>
        <v/>
      </c>
      <c r="H108" s="5">
        <f>COUNTIF('2_Token'!$D$11:$AK$11,$A108)</f>
        <v/>
      </c>
      <c r="I108" s="5">
        <f>COUNTIF('2_Token'!$D$12:$AK$12,$A108)</f>
        <v/>
      </c>
      <c r="J108" s="5">
        <f>COUNTIF('2_Token'!$D$13:$AK$13,$A108)</f>
        <v/>
      </c>
      <c r="K108" s="5">
        <f>COUNTIF('2_Token'!$D$14:$AK$14,$A108)</f>
        <v/>
      </c>
      <c r="L108" s="5">
        <f>COUNTIF('2_Token'!$D$15:$AK$15,$A108)</f>
        <v/>
      </c>
      <c r="M108" s="5">
        <f>COUNTIF('2_Token'!$D$16:$AK$16,$A108)</f>
        <v/>
      </c>
      <c r="N108" s="5">
        <f>SUM(B108:M108)</f>
        <v/>
      </c>
    </row>
    <row r="109">
      <c r="A109" s="6" t="inlineStr">
        <is>
          <t>masuk</t>
        </is>
      </c>
      <c r="B109" s="5">
        <f>COUNTIF('2_Token'!$D$5:$AK$5,$A109)</f>
        <v/>
      </c>
      <c r="C109" s="5">
        <f>COUNTIF('2_Token'!$D$6:$AK$6,$A109)</f>
        <v/>
      </c>
      <c r="D109" s="5">
        <f>COUNTIF('2_Token'!$D$7:$AK$7,$A109)</f>
        <v/>
      </c>
      <c r="E109" s="5">
        <f>COUNTIF('2_Token'!$D$8:$AK$8,$A109)</f>
        <v/>
      </c>
      <c r="F109" s="5">
        <f>COUNTIF('2_Token'!$D$9:$AK$9,$A109)</f>
        <v/>
      </c>
      <c r="G109" s="5">
        <f>COUNTIF('2_Token'!$D$10:$AK$10,$A109)</f>
        <v/>
      </c>
      <c r="H109" s="5">
        <f>COUNTIF('2_Token'!$D$11:$AK$11,$A109)</f>
        <v/>
      </c>
      <c r="I109" s="5">
        <f>COUNTIF('2_Token'!$D$12:$AK$12,$A109)</f>
        <v/>
      </c>
      <c r="J109" s="5">
        <f>COUNTIF('2_Token'!$D$13:$AK$13,$A109)</f>
        <v/>
      </c>
      <c r="K109" s="5">
        <f>COUNTIF('2_Token'!$D$14:$AK$14,$A109)</f>
        <v/>
      </c>
      <c r="L109" s="5">
        <f>COUNTIF('2_Token'!$D$15:$AK$15,$A109)</f>
        <v/>
      </c>
      <c r="M109" s="5">
        <f>COUNTIF('2_Token'!$D$16:$AK$16,$A109)</f>
        <v/>
      </c>
      <c r="N109" s="5">
        <f>SUM(B109:M109)</f>
        <v/>
      </c>
    </row>
    <row r="110">
      <c r="A110" s="6" t="inlineStr">
        <is>
          <t>maulana</t>
        </is>
      </c>
      <c r="B110" s="5">
        <f>COUNTIF('2_Token'!$D$5:$AK$5,$A110)</f>
        <v/>
      </c>
      <c r="C110" s="5">
        <f>COUNTIF('2_Token'!$D$6:$AK$6,$A110)</f>
        <v/>
      </c>
      <c r="D110" s="5">
        <f>COUNTIF('2_Token'!$D$7:$AK$7,$A110)</f>
        <v/>
      </c>
      <c r="E110" s="5">
        <f>COUNTIF('2_Token'!$D$8:$AK$8,$A110)</f>
        <v/>
      </c>
      <c r="F110" s="5">
        <f>COUNTIF('2_Token'!$D$9:$AK$9,$A110)</f>
        <v/>
      </c>
      <c r="G110" s="5">
        <f>COUNTIF('2_Token'!$D$10:$AK$10,$A110)</f>
        <v/>
      </c>
      <c r="H110" s="5">
        <f>COUNTIF('2_Token'!$D$11:$AK$11,$A110)</f>
        <v/>
      </c>
      <c r="I110" s="5">
        <f>COUNTIF('2_Token'!$D$12:$AK$12,$A110)</f>
        <v/>
      </c>
      <c r="J110" s="5">
        <f>COUNTIF('2_Token'!$D$13:$AK$13,$A110)</f>
        <v/>
      </c>
      <c r="K110" s="5">
        <f>COUNTIF('2_Token'!$D$14:$AK$14,$A110)</f>
        <v/>
      </c>
      <c r="L110" s="5">
        <f>COUNTIF('2_Token'!$D$15:$AK$15,$A110)</f>
        <v/>
      </c>
      <c r="M110" s="5">
        <f>COUNTIF('2_Token'!$D$16:$AK$16,$A110)</f>
        <v/>
      </c>
      <c r="N110" s="5">
        <f>SUM(B110:M110)</f>
        <v/>
      </c>
    </row>
    <row r="111">
      <c r="A111" s="6" t="inlineStr">
        <is>
          <t>memiliki</t>
        </is>
      </c>
      <c r="B111" s="5">
        <f>COUNTIF('2_Token'!$D$5:$AK$5,$A111)</f>
        <v/>
      </c>
      <c r="C111" s="5">
        <f>COUNTIF('2_Token'!$D$6:$AK$6,$A111)</f>
        <v/>
      </c>
      <c r="D111" s="5">
        <f>COUNTIF('2_Token'!$D$7:$AK$7,$A111)</f>
        <v/>
      </c>
      <c r="E111" s="5">
        <f>COUNTIF('2_Token'!$D$8:$AK$8,$A111)</f>
        <v/>
      </c>
      <c r="F111" s="5">
        <f>COUNTIF('2_Token'!$D$9:$AK$9,$A111)</f>
        <v/>
      </c>
      <c r="G111" s="5">
        <f>COUNTIF('2_Token'!$D$10:$AK$10,$A111)</f>
        <v/>
      </c>
      <c r="H111" s="5">
        <f>COUNTIF('2_Token'!$D$11:$AK$11,$A111)</f>
        <v/>
      </c>
      <c r="I111" s="5">
        <f>COUNTIF('2_Token'!$D$12:$AK$12,$A111)</f>
        <v/>
      </c>
      <c r="J111" s="5">
        <f>COUNTIF('2_Token'!$D$13:$AK$13,$A111)</f>
        <v/>
      </c>
      <c r="K111" s="5">
        <f>COUNTIF('2_Token'!$D$14:$AK$14,$A111)</f>
        <v/>
      </c>
      <c r="L111" s="5">
        <f>COUNTIF('2_Token'!$D$15:$AK$15,$A111)</f>
        <v/>
      </c>
      <c r="M111" s="5">
        <f>COUNTIF('2_Token'!$D$16:$AK$16,$A111)</f>
        <v/>
      </c>
      <c r="N111" s="5">
        <f>SUM(B111:M111)</f>
        <v/>
      </c>
    </row>
    <row r="112">
      <c r="A112" s="6" t="inlineStr">
        <is>
          <t>menaiki</t>
        </is>
      </c>
      <c r="B112" s="5">
        <f>COUNTIF('2_Token'!$D$5:$AK$5,$A112)</f>
        <v/>
      </c>
      <c r="C112" s="5">
        <f>COUNTIF('2_Token'!$D$6:$AK$6,$A112)</f>
        <v/>
      </c>
      <c r="D112" s="5">
        <f>COUNTIF('2_Token'!$D$7:$AK$7,$A112)</f>
        <v/>
      </c>
      <c r="E112" s="5">
        <f>COUNTIF('2_Token'!$D$8:$AK$8,$A112)</f>
        <v/>
      </c>
      <c r="F112" s="5">
        <f>COUNTIF('2_Token'!$D$9:$AK$9,$A112)</f>
        <v/>
      </c>
      <c r="G112" s="5">
        <f>COUNTIF('2_Token'!$D$10:$AK$10,$A112)</f>
        <v/>
      </c>
      <c r="H112" s="5">
        <f>COUNTIF('2_Token'!$D$11:$AK$11,$A112)</f>
        <v/>
      </c>
      <c r="I112" s="5">
        <f>COUNTIF('2_Token'!$D$12:$AK$12,$A112)</f>
        <v/>
      </c>
      <c r="J112" s="5">
        <f>COUNTIF('2_Token'!$D$13:$AK$13,$A112)</f>
        <v/>
      </c>
      <c r="K112" s="5">
        <f>COUNTIF('2_Token'!$D$14:$AK$14,$A112)</f>
        <v/>
      </c>
      <c r="L112" s="5">
        <f>COUNTIF('2_Token'!$D$15:$AK$15,$A112)</f>
        <v/>
      </c>
      <c r="M112" s="5">
        <f>COUNTIF('2_Token'!$D$16:$AK$16,$A112)</f>
        <v/>
      </c>
      <c r="N112" s="5">
        <f>SUM(B112:M112)</f>
        <v/>
      </c>
    </row>
    <row r="113">
      <c r="A113" s="6" t="inlineStr">
        <is>
          <t>menteri</t>
        </is>
      </c>
      <c r="B113" s="5">
        <f>COUNTIF('2_Token'!$D$5:$AK$5,$A113)</f>
        <v/>
      </c>
      <c r="C113" s="5">
        <f>COUNTIF('2_Token'!$D$6:$AK$6,$A113)</f>
        <v/>
      </c>
      <c r="D113" s="5">
        <f>COUNTIF('2_Token'!$D$7:$AK$7,$A113)</f>
        <v/>
      </c>
      <c r="E113" s="5">
        <f>COUNTIF('2_Token'!$D$8:$AK$8,$A113)</f>
        <v/>
      </c>
      <c r="F113" s="5">
        <f>COUNTIF('2_Token'!$D$9:$AK$9,$A113)</f>
        <v/>
      </c>
      <c r="G113" s="5">
        <f>COUNTIF('2_Token'!$D$10:$AK$10,$A113)</f>
        <v/>
      </c>
      <c r="H113" s="5">
        <f>COUNTIF('2_Token'!$D$11:$AK$11,$A113)</f>
        <v/>
      </c>
      <c r="I113" s="5">
        <f>COUNTIF('2_Token'!$D$12:$AK$12,$A113)</f>
        <v/>
      </c>
      <c r="J113" s="5">
        <f>COUNTIF('2_Token'!$D$13:$AK$13,$A113)</f>
        <v/>
      </c>
      <c r="K113" s="5">
        <f>COUNTIF('2_Token'!$D$14:$AK$14,$A113)</f>
        <v/>
      </c>
      <c r="L113" s="5">
        <f>COUNTIF('2_Token'!$D$15:$AK$15,$A113)</f>
        <v/>
      </c>
      <c r="M113" s="5">
        <f>COUNTIF('2_Token'!$D$16:$AK$16,$A113)</f>
        <v/>
      </c>
      <c r="N113" s="5">
        <f>SUM(B113:M113)</f>
        <v/>
      </c>
    </row>
    <row r="114">
      <c r="A114" s="6" t="inlineStr">
        <is>
          <t>minta</t>
        </is>
      </c>
      <c r="B114" s="5">
        <f>COUNTIF('2_Token'!$D$5:$AK$5,$A114)</f>
        <v/>
      </c>
      <c r="C114" s="5">
        <f>COUNTIF('2_Token'!$D$6:$AK$6,$A114)</f>
        <v/>
      </c>
      <c r="D114" s="5">
        <f>COUNTIF('2_Token'!$D$7:$AK$7,$A114)</f>
        <v/>
      </c>
      <c r="E114" s="5">
        <f>COUNTIF('2_Token'!$D$8:$AK$8,$A114)</f>
        <v/>
      </c>
      <c r="F114" s="5">
        <f>COUNTIF('2_Token'!$D$9:$AK$9,$A114)</f>
        <v/>
      </c>
      <c r="G114" s="5">
        <f>COUNTIF('2_Token'!$D$10:$AK$10,$A114)</f>
        <v/>
      </c>
      <c r="H114" s="5">
        <f>COUNTIF('2_Token'!$D$11:$AK$11,$A114)</f>
        <v/>
      </c>
      <c r="I114" s="5">
        <f>COUNTIF('2_Token'!$D$12:$AK$12,$A114)</f>
        <v/>
      </c>
      <c r="J114" s="5">
        <f>COUNTIF('2_Token'!$D$13:$AK$13,$A114)</f>
        <v/>
      </c>
      <c r="K114" s="5">
        <f>COUNTIF('2_Token'!$D$14:$AK$14,$A114)</f>
        <v/>
      </c>
      <c r="L114" s="5">
        <f>COUNTIF('2_Token'!$D$15:$AK$15,$A114)</f>
        <v/>
      </c>
      <c r="M114" s="5">
        <f>COUNTIF('2_Token'!$D$16:$AK$16,$A114)</f>
        <v/>
      </c>
      <c r="N114" s="5">
        <f>SUM(B114:M114)</f>
        <v/>
      </c>
    </row>
    <row r="115">
      <c r="A115" s="6" t="inlineStr">
        <is>
          <t>mobil</t>
        </is>
      </c>
      <c r="B115" s="5">
        <f>COUNTIF('2_Token'!$D$5:$AK$5,$A115)</f>
        <v/>
      </c>
      <c r="C115" s="5">
        <f>COUNTIF('2_Token'!$D$6:$AK$6,$A115)</f>
        <v/>
      </c>
      <c r="D115" s="5">
        <f>COUNTIF('2_Token'!$D$7:$AK$7,$A115)</f>
        <v/>
      </c>
      <c r="E115" s="5">
        <f>COUNTIF('2_Token'!$D$8:$AK$8,$A115)</f>
        <v/>
      </c>
      <c r="F115" s="5">
        <f>COUNTIF('2_Token'!$D$9:$AK$9,$A115)</f>
        <v/>
      </c>
      <c r="G115" s="5">
        <f>COUNTIF('2_Token'!$D$10:$AK$10,$A115)</f>
        <v/>
      </c>
      <c r="H115" s="5">
        <f>COUNTIF('2_Token'!$D$11:$AK$11,$A115)</f>
        <v/>
      </c>
      <c r="I115" s="5">
        <f>COUNTIF('2_Token'!$D$12:$AK$12,$A115)</f>
        <v/>
      </c>
      <c r="J115" s="5">
        <f>COUNTIF('2_Token'!$D$13:$AK$13,$A115)</f>
        <v/>
      </c>
      <c r="K115" s="5">
        <f>COUNTIF('2_Token'!$D$14:$AK$14,$A115)</f>
        <v/>
      </c>
      <c r="L115" s="5">
        <f>COUNTIF('2_Token'!$D$15:$AK$15,$A115)</f>
        <v/>
      </c>
      <c r="M115" s="5">
        <f>COUNTIF('2_Token'!$D$16:$AK$16,$A115)</f>
        <v/>
      </c>
      <c r="N115" s="5">
        <f>SUM(B115:M115)</f>
        <v/>
      </c>
    </row>
    <row r="116">
      <c r="A116" s="6" t="inlineStr">
        <is>
          <t>mola</t>
        </is>
      </c>
      <c r="B116" s="5">
        <f>COUNTIF('2_Token'!$D$5:$AK$5,$A116)</f>
        <v/>
      </c>
      <c r="C116" s="5">
        <f>COUNTIF('2_Token'!$D$6:$AK$6,$A116)</f>
        <v/>
      </c>
      <c r="D116" s="5">
        <f>COUNTIF('2_Token'!$D$7:$AK$7,$A116)</f>
        <v/>
      </c>
      <c r="E116" s="5">
        <f>COUNTIF('2_Token'!$D$8:$AK$8,$A116)</f>
        <v/>
      </c>
      <c r="F116" s="5">
        <f>COUNTIF('2_Token'!$D$9:$AK$9,$A116)</f>
        <v/>
      </c>
      <c r="G116" s="5">
        <f>COUNTIF('2_Token'!$D$10:$AK$10,$A116)</f>
        <v/>
      </c>
      <c r="H116" s="5">
        <f>COUNTIF('2_Token'!$D$11:$AK$11,$A116)</f>
        <v/>
      </c>
      <c r="I116" s="5">
        <f>COUNTIF('2_Token'!$D$12:$AK$12,$A116)</f>
        <v/>
      </c>
      <c r="J116" s="5">
        <f>COUNTIF('2_Token'!$D$13:$AK$13,$A116)</f>
        <v/>
      </c>
      <c r="K116" s="5">
        <f>COUNTIF('2_Token'!$D$14:$AK$14,$A116)</f>
        <v/>
      </c>
      <c r="L116" s="5">
        <f>COUNTIF('2_Token'!$D$15:$AK$15,$A116)</f>
        <v/>
      </c>
      <c r="M116" s="5">
        <f>COUNTIF('2_Token'!$D$16:$AK$16,$A116)</f>
        <v/>
      </c>
      <c r="N116" s="5">
        <f>SUM(B116:M116)</f>
        <v/>
      </c>
    </row>
    <row r="117">
      <c r="A117" s="6" t="inlineStr">
        <is>
          <t>monumen</t>
        </is>
      </c>
      <c r="B117" s="5">
        <f>COUNTIF('2_Token'!$D$5:$AK$5,$A117)</f>
        <v/>
      </c>
      <c r="C117" s="5">
        <f>COUNTIF('2_Token'!$D$6:$AK$6,$A117)</f>
        <v/>
      </c>
      <c r="D117" s="5">
        <f>COUNTIF('2_Token'!$D$7:$AK$7,$A117)</f>
        <v/>
      </c>
      <c r="E117" s="5">
        <f>COUNTIF('2_Token'!$D$8:$AK$8,$A117)</f>
        <v/>
      </c>
      <c r="F117" s="5">
        <f>COUNTIF('2_Token'!$D$9:$AK$9,$A117)</f>
        <v/>
      </c>
      <c r="G117" s="5">
        <f>COUNTIF('2_Token'!$D$10:$AK$10,$A117)</f>
        <v/>
      </c>
      <c r="H117" s="5">
        <f>COUNTIF('2_Token'!$D$11:$AK$11,$A117)</f>
        <v/>
      </c>
      <c r="I117" s="5">
        <f>COUNTIF('2_Token'!$D$12:$AK$12,$A117)</f>
        <v/>
      </c>
      <c r="J117" s="5">
        <f>COUNTIF('2_Token'!$D$13:$AK$13,$A117)</f>
        <v/>
      </c>
      <c r="K117" s="5">
        <f>COUNTIF('2_Token'!$D$14:$AK$14,$A117)</f>
        <v/>
      </c>
      <c r="L117" s="5">
        <f>COUNTIF('2_Token'!$D$15:$AK$15,$A117)</f>
        <v/>
      </c>
      <c r="M117" s="5">
        <f>COUNTIF('2_Token'!$D$16:$AK$16,$A117)</f>
        <v/>
      </c>
      <c r="N117" s="5">
        <f>SUM(B117:M117)</f>
        <v/>
      </c>
    </row>
    <row r="118">
      <c r="A118" s="6" t="inlineStr">
        <is>
          <t>muhammad</t>
        </is>
      </c>
      <c r="B118" s="5">
        <f>COUNTIF('2_Token'!$D$5:$AK$5,$A118)</f>
        <v/>
      </c>
      <c r="C118" s="5">
        <f>COUNTIF('2_Token'!$D$6:$AK$6,$A118)</f>
        <v/>
      </c>
      <c r="D118" s="5">
        <f>COUNTIF('2_Token'!$D$7:$AK$7,$A118)</f>
        <v/>
      </c>
      <c r="E118" s="5">
        <f>COUNTIF('2_Token'!$D$8:$AK$8,$A118)</f>
        <v/>
      </c>
      <c r="F118" s="5">
        <f>COUNTIF('2_Token'!$D$9:$AK$9,$A118)</f>
        <v/>
      </c>
      <c r="G118" s="5">
        <f>COUNTIF('2_Token'!$D$10:$AK$10,$A118)</f>
        <v/>
      </c>
      <c r="H118" s="5">
        <f>COUNTIF('2_Token'!$D$11:$AK$11,$A118)</f>
        <v/>
      </c>
      <c r="I118" s="5">
        <f>COUNTIF('2_Token'!$D$12:$AK$12,$A118)</f>
        <v/>
      </c>
      <c r="J118" s="5">
        <f>COUNTIF('2_Token'!$D$13:$AK$13,$A118)</f>
        <v/>
      </c>
      <c r="K118" s="5">
        <f>COUNTIF('2_Token'!$D$14:$AK$14,$A118)</f>
        <v/>
      </c>
      <c r="L118" s="5">
        <f>COUNTIF('2_Token'!$D$15:$AK$15,$A118)</f>
        <v/>
      </c>
      <c r="M118" s="5">
        <f>COUNTIF('2_Token'!$D$16:$AK$16,$A118)</f>
        <v/>
      </c>
      <c r="N118" s="5">
        <f>SUM(B118:M118)</f>
        <v/>
      </c>
    </row>
    <row r="119">
      <c r="A119" s="6" t="inlineStr">
        <is>
          <t>mulyani</t>
        </is>
      </c>
      <c r="B119" s="5">
        <f>COUNTIF('2_Token'!$D$5:$AK$5,$A119)</f>
        <v/>
      </c>
      <c r="C119" s="5">
        <f>COUNTIF('2_Token'!$D$6:$AK$6,$A119)</f>
        <v/>
      </c>
      <c r="D119" s="5">
        <f>COUNTIF('2_Token'!$D$7:$AK$7,$A119)</f>
        <v/>
      </c>
      <c r="E119" s="5">
        <f>COUNTIF('2_Token'!$D$8:$AK$8,$A119)</f>
        <v/>
      </c>
      <c r="F119" s="5">
        <f>COUNTIF('2_Token'!$D$9:$AK$9,$A119)</f>
        <v/>
      </c>
      <c r="G119" s="5">
        <f>COUNTIF('2_Token'!$D$10:$AK$10,$A119)</f>
        <v/>
      </c>
      <c r="H119" s="5">
        <f>COUNTIF('2_Token'!$D$11:$AK$11,$A119)</f>
        <v/>
      </c>
      <c r="I119" s="5">
        <f>COUNTIF('2_Token'!$D$12:$AK$12,$A119)</f>
        <v/>
      </c>
      <c r="J119" s="5">
        <f>COUNTIF('2_Token'!$D$13:$AK$13,$A119)</f>
        <v/>
      </c>
      <c r="K119" s="5">
        <f>COUNTIF('2_Token'!$D$14:$AK$14,$A119)</f>
        <v/>
      </c>
      <c r="L119" s="5">
        <f>COUNTIF('2_Token'!$D$15:$AK$15,$A119)</f>
        <v/>
      </c>
      <c r="M119" s="5">
        <f>COUNTIF('2_Token'!$D$16:$AK$16,$A119)</f>
        <v/>
      </c>
      <c r="N119" s="5">
        <f>SUM(B119:M119)</f>
        <v/>
      </c>
    </row>
    <row r="120">
      <c r="A120" s="6" t="inlineStr">
        <is>
          <t>musim</t>
        </is>
      </c>
      <c r="B120" s="5">
        <f>COUNTIF('2_Token'!$D$5:$AK$5,$A120)</f>
        <v/>
      </c>
      <c r="C120" s="5">
        <f>COUNTIF('2_Token'!$D$6:$AK$6,$A120)</f>
        <v/>
      </c>
      <c r="D120" s="5">
        <f>COUNTIF('2_Token'!$D$7:$AK$7,$A120)</f>
        <v/>
      </c>
      <c r="E120" s="5">
        <f>COUNTIF('2_Token'!$D$8:$AK$8,$A120)</f>
        <v/>
      </c>
      <c r="F120" s="5">
        <f>COUNTIF('2_Token'!$D$9:$AK$9,$A120)</f>
        <v/>
      </c>
      <c r="G120" s="5">
        <f>COUNTIF('2_Token'!$D$10:$AK$10,$A120)</f>
        <v/>
      </c>
      <c r="H120" s="5">
        <f>COUNTIF('2_Token'!$D$11:$AK$11,$A120)</f>
        <v/>
      </c>
      <c r="I120" s="5">
        <f>COUNTIF('2_Token'!$D$12:$AK$12,$A120)</f>
        <v/>
      </c>
      <c r="J120" s="5">
        <f>COUNTIF('2_Token'!$D$13:$AK$13,$A120)</f>
        <v/>
      </c>
      <c r="K120" s="5">
        <f>COUNTIF('2_Token'!$D$14:$AK$14,$A120)</f>
        <v/>
      </c>
      <c r="L120" s="5">
        <f>COUNTIF('2_Token'!$D$15:$AK$15,$A120)</f>
        <v/>
      </c>
      <c r="M120" s="5">
        <f>COUNTIF('2_Token'!$D$16:$AK$16,$A120)</f>
        <v/>
      </c>
      <c r="N120" s="5">
        <f>SUM(B120:M120)</f>
        <v/>
      </c>
    </row>
    <row r="121">
      <c r="A121" s="6" t="inlineStr">
        <is>
          <t>nasional</t>
        </is>
      </c>
      <c r="B121" s="5">
        <f>COUNTIF('2_Token'!$D$5:$AK$5,$A121)</f>
        <v/>
      </c>
      <c r="C121" s="5">
        <f>COUNTIF('2_Token'!$D$6:$AK$6,$A121)</f>
        <v/>
      </c>
      <c r="D121" s="5">
        <f>COUNTIF('2_Token'!$D$7:$AK$7,$A121)</f>
        <v/>
      </c>
      <c r="E121" s="5">
        <f>COUNTIF('2_Token'!$D$8:$AK$8,$A121)</f>
        <v/>
      </c>
      <c r="F121" s="5">
        <f>COUNTIF('2_Token'!$D$9:$AK$9,$A121)</f>
        <v/>
      </c>
      <c r="G121" s="5">
        <f>COUNTIF('2_Token'!$D$10:$AK$10,$A121)</f>
        <v/>
      </c>
      <c r="H121" s="5">
        <f>COUNTIF('2_Token'!$D$11:$AK$11,$A121)</f>
        <v/>
      </c>
      <c r="I121" s="5">
        <f>COUNTIF('2_Token'!$D$12:$AK$12,$A121)</f>
        <v/>
      </c>
      <c r="J121" s="5">
        <f>COUNTIF('2_Token'!$D$13:$AK$13,$A121)</f>
        <v/>
      </c>
      <c r="K121" s="5">
        <f>COUNTIF('2_Token'!$D$14:$AK$14,$A121)</f>
        <v/>
      </c>
      <c r="L121" s="5">
        <f>COUNTIF('2_Token'!$D$15:$AK$15,$A121)</f>
        <v/>
      </c>
      <c r="M121" s="5">
        <f>COUNTIF('2_Token'!$D$16:$AK$16,$A121)</f>
        <v/>
      </c>
      <c r="N121" s="5">
        <f>SUM(B121:M121)</f>
        <v/>
      </c>
    </row>
    <row r="122">
      <c r="A122" s="6" t="inlineStr">
        <is>
          <t>nelayan</t>
        </is>
      </c>
      <c r="B122" s="5">
        <f>COUNTIF('2_Token'!$D$5:$AK$5,$A122)</f>
        <v/>
      </c>
      <c r="C122" s="5">
        <f>COUNTIF('2_Token'!$D$6:$AK$6,$A122)</f>
        <v/>
      </c>
      <c r="D122" s="5">
        <f>COUNTIF('2_Token'!$D$7:$AK$7,$A122)</f>
        <v/>
      </c>
      <c r="E122" s="5">
        <f>COUNTIF('2_Token'!$D$8:$AK$8,$A122)</f>
        <v/>
      </c>
      <c r="F122" s="5">
        <f>COUNTIF('2_Token'!$D$9:$AK$9,$A122)</f>
        <v/>
      </c>
      <c r="G122" s="5">
        <f>COUNTIF('2_Token'!$D$10:$AK$10,$A122)</f>
        <v/>
      </c>
      <c r="H122" s="5">
        <f>COUNTIF('2_Token'!$D$11:$AK$11,$A122)</f>
        <v/>
      </c>
      <c r="I122" s="5">
        <f>COUNTIF('2_Token'!$D$12:$AK$12,$A122)</f>
        <v/>
      </c>
      <c r="J122" s="5">
        <f>COUNTIF('2_Token'!$D$13:$AK$13,$A122)</f>
        <v/>
      </c>
      <c r="K122" s="5">
        <f>COUNTIF('2_Token'!$D$14:$AK$14,$A122)</f>
        <v/>
      </c>
      <c r="L122" s="5">
        <f>COUNTIF('2_Token'!$D$15:$AK$15,$A122)</f>
        <v/>
      </c>
      <c r="M122" s="5">
        <f>COUNTIF('2_Token'!$D$16:$AK$16,$A122)</f>
        <v/>
      </c>
      <c r="N122" s="5">
        <f>SUM(B122:M122)</f>
        <v/>
      </c>
    </row>
    <row r="123">
      <c r="A123" s="6" t="inlineStr">
        <is>
          <t>nomor</t>
        </is>
      </c>
      <c r="B123" s="5">
        <f>COUNTIF('2_Token'!$D$5:$AK$5,$A123)</f>
        <v/>
      </c>
      <c r="C123" s="5">
        <f>COUNTIF('2_Token'!$D$6:$AK$6,$A123)</f>
        <v/>
      </c>
      <c r="D123" s="5">
        <f>COUNTIF('2_Token'!$D$7:$AK$7,$A123)</f>
        <v/>
      </c>
      <c r="E123" s="5">
        <f>COUNTIF('2_Token'!$D$8:$AK$8,$A123)</f>
        <v/>
      </c>
      <c r="F123" s="5">
        <f>COUNTIF('2_Token'!$D$9:$AK$9,$A123)</f>
        <v/>
      </c>
      <c r="G123" s="5">
        <f>COUNTIF('2_Token'!$D$10:$AK$10,$A123)</f>
        <v/>
      </c>
      <c r="H123" s="5">
        <f>COUNTIF('2_Token'!$D$11:$AK$11,$A123)</f>
        <v/>
      </c>
      <c r="I123" s="5">
        <f>COUNTIF('2_Token'!$D$12:$AK$12,$A123)</f>
        <v/>
      </c>
      <c r="J123" s="5">
        <f>COUNTIF('2_Token'!$D$13:$AK$13,$A123)</f>
        <v/>
      </c>
      <c r="K123" s="5">
        <f>COUNTIF('2_Token'!$D$14:$AK$14,$A123)</f>
        <v/>
      </c>
      <c r="L123" s="5">
        <f>COUNTIF('2_Token'!$D$15:$AK$15,$A123)</f>
        <v/>
      </c>
      <c r="M123" s="5">
        <f>COUNTIF('2_Token'!$D$16:$AK$16,$A123)</f>
        <v/>
      </c>
      <c r="N123" s="5">
        <f>SUM(B123:M123)</f>
        <v/>
      </c>
    </row>
    <row r="124">
      <c r="A124" s="6" t="inlineStr">
        <is>
          <t>nugroho</t>
        </is>
      </c>
      <c r="B124" s="5">
        <f>COUNTIF('2_Token'!$D$5:$AK$5,$A124)</f>
        <v/>
      </c>
      <c r="C124" s="5">
        <f>COUNTIF('2_Token'!$D$6:$AK$6,$A124)</f>
        <v/>
      </c>
      <c r="D124" s="5">
        <f>COUNTIF('2_Token'!$D$7:$AK$7,$A124)</f>
        <v/>
      </c>
      <c r="E124" s="5">
        <f>COUNTIF('2_Token'!$D$8:$AK$8,$A124)</f>
        <v/>
      </c>
      <c r="F124" s="5">
        <f>COUNTIF('2_Token'!$D$9:$AK$9,$A124)</f>
        <v/>
      </c>
      <c r="G124" s="5">
        <f>COUNTIF('2_Token'!$D$10:$AK$10,$A124)</f>
        <v/>
      </c>
      <c r="H124" s="5">
        <f>COUNTIF('2_Token'!$D$11:$AK$11,$A124)</f>
        <v/>
      </c>
      <c r="I124" s="5">
        <f>COUNTIF('2_Token'!$D$12:$AK$12,$A124)</f>
        <v/>
      </c>
      <c r="J124" s="5">
        <f>COUNTIF('2_Token'!$D$13:$AK$13,$A124)</f>
        <v/>
      </c>
      <c r="K124" s="5">
        <f>COUNTIF('2_Token'!$D$14:$AK$14,$A124)</f>
        <v/>
      </c>
      <c r="L124" s="5">
        <f>COUNTIF('2_Token'!$D$15:$AK$15,$A124)</f>
        <v/>
      </c>
      <c r="M124" s="5">
        <f>COUNTIF('2_Token'!$D$16:$AK$16,$A124)</f>
        <v/>
      </c>
      <c r="N124" s="5">
        <f>SUM(B124:M124)</f>
        <v/>
      </c>
    </row>
    <row r="125">
      <c r="A125" s="6" t="inlineStr">
        <is>
          <t>oktober</t>
        </is>
      </c>
      <c r="B125" s="5">
        <f>COUNTIF('2_Token'!$D$5:$AK$5,$A125)</f>
        <v/>
      </c>
      <c r="C125" s="5">
        <f>COUNTIF('2_Token'!$D$6:$AK$6,$A125)</f>
        <v/>
      </c>
      <c r="D125" s="5">
        <f>COUNTIF('2_Token'!$D$7:$AK$7,$A125)</f>
        <v/>
      </c>
      <c r="E125" s="5">
        <f>COUNTIF('2_Token'!$D$8:$AK$8,$A125)</f>
        <v/>
      </c>
      <c r="F125" s="5">
        <f>COUNTIF('2_Token'!$D$9:$AK$9,$A125)</f>
        <v/>
      </c>
      <c r="G125" s="5">
        <f>COUNTIF('2_Token'!$D$10:$AK$10,$A125)</f>
        <v/>
      </c>
      <c r="H125" s="5">
        <f>COUNTIF('2_Token'!$D$11:$AK$11,$A125)</f>
        <v/>
      </c>
      <c r="I125" s="5">
        <f>COUNTIF('2_Token'!$D$12:$AK$12,$A125)</f>
        <v/>
      </c>
      <c r="J125" s="5">
        <f>COUNTIF('2_Token'!$D$13:$AK$13,$A125)</f>
        <v/>
      </c>
      <c r="K125" s="5">
        <f>COUNTIF('2_Token'!$D$14:$AK$14,$A125)</f>
        <v/>
      </c>
      <c r="L125" s="5">
        <f>COUNTIF('2_Token'!$D$15:$AK$15,$A125)</f>
        <v/>
      </c>
      <c r="M125" s="5">
        <f>COUNTIF('2_Token'!$D$16:$AK$16,$A125)</f>
        <v/>
      </c>
      <c r="N125" s="5">
        <f>SUM(B125:M125)</f>
        <v/>
      </c>
    </row>
    <row r="126">
      <c r="A126" s="6" t="inlineStr">
        <is>
          <t>olahraga</t>
        </is>
      </c>
      <c r="B126" s="5">
        <f>COUNTIF('2_Token'!$D$5:$AK$5,$A126)</f>
        <v/>
      </c>
      <c r="C126" s="5">
        <f>COUNTIF('2_Token'!$D$6:$AK$6,$A126)</f>
        <v/>
      </c>
      <c r="D126" s="5">
        <f>COUNTIF('2_Token'!$D$7:$AK$7,$A126)</f>
        <v/>
      </c>
      <c r="E126" s="5">
        <f>COUNTIF('2_Token'!$D$8:$AK$8,$A126)</f>
        <v/>
      </c>
      <c r="F126" s="5">
        <f>COUNTIF('2_Token'!$D$9:$AK$9,$A126)</f>
        <v/>
      </c>
      <c r="G126" s="5">
        <f>COUNTIF('2_Token'!$D$10:$AK$10,$A126)</f>
        <v/>
      </c>
      <c r="H126" s="5">
        <f>COUNTIF('2_Token'!$D$11:$AK$11,$A126)</f>
        <v/>
      </c>
      <c r="I126" s="5">
        <f>COUNTIF('2_Token'!$D$12:$AK$12,$A126)</f>
        <v/>
      </c>
      <c r="J126" s="5">
        <f>COUNTIF('2_Token'!$D$13:$AK$13,$A126)</f>
        <v/>
      </c>
      <c r="K126" s="5">
        <f>COUNTIF('2_Token'!$D$14:$AK$14,$A126)</f>
        <v/>
      </c>
      <c r="L126" s="5">
        <f>COUNTIF('2_Token'!$D$15:$AK$15,$A126)</f>
        <v/>
      </c>
      <c r="M126" s="5">
        <f>COUNTIF('2_Token'!$D$16:$AK$16,$A126)</f>
        <v/>
      </c>
      <c r="N126" s="5">
        <f>SUM(B126:M126)</f>
        <v/>
      </c>
    </row>
    <row r="127">
      <c r="A127" s="6" t="inlineStr">
        <is>
          <t>orang</t>
        </is>
      </c>
      <c r="B127" s="5">
        <f>COUNTIF('2_Token'!$D$5:$AK$5,$A127)</f>
        <v/>
      </c>
      <c r="C127" s="5">
        <f>COUNTIF('2_Token'!$D$6:$AK$6,$A127)</f>
        <v/>
      </c>
      <c r="D127" s="5">
        <f>COUNTIF('2_Token'!$D$7:$AK$7,$A127)</f>
        <v/>
      </c>
      <c r="E127" s="5">
        <f>COUNTIF('2_Token'!$D$8:$AK$8,$A127)</f>
        <v/>
      </c>
      <c r="F127" s="5">
        <f>COUNTIF('2_Token'!$D$9:$AK$9,$A127)</f>
        <v/>
      </c>
      <c r="G127" s="5">
        <f>COUNTIF('2_Token'!$D$10:$AK$10,$A127)</f>
        <v/>
      </c>
      <c r="H127" s="5">
        <f>COUNTIF('2_Token'!$D$11:$AK$11,$A127)</f>
        <v/>
      </c>
      <c r="I127" s="5">
        <f>COUNTIF('2_Token'!$D$12:$AK$12,$A127)</f>
        <v/>
      </c>
      <c r="J127" s="5">
        <f>COUNTIF('2_Token'!$D$13:$AK$13,$A127)</f>
        <v/>
      </c>
      <c r="K127" s="5">
        <f>COUNTIF('2_Token'!$D$14:$AK$14,$A127)</f>
        <v/>
      </c>
      <c r="L127" s="5">
        <f>COUNTIF('2_Token'!$D$15:$AK$15,$A127)</f>
        <v/>
      </c>
      <c r="M127" s="5">
        <f>COUNTIF('2_Token'!$D$16:$AK$16,$A127)</f>
        <v/>
      </c>
      <c r="N127" s="5">
        <f>SUM(B127:M127)</f>
        <v/>
      </c>
    </row>
    <row r="128">
      <c r="A128" s="6" t="inlineStr">
        <is>
          <t>palestina</t>
        </is>
      </c>
      <c r="B128" s="5">
        <f>COUNTIF('2_Token'!$D$5:$AK$5,$A128)</f>
        <v/>
      </c>
      <c r="C128" s="5">
        <f>COUNTIF('2_Token'!$D$6:$AK$6,$A128)</f>
        <v/>
      </c>
      <c r="D128" s="5">
        <f>COUNTIF('2_Token'!$D$7:$AK$7,$A128)</f>
        <v/>
      </c>
      <c r="E128" s="5">
        <f>COUNTIF('2_Token'!$D$8:$AK$8,$A128)</f>
        <v/>
      </c>
      <c r="F128" s="5">
        <f>COUNTIF('2_Token'!$D$9:$AK$9,$A128)</f>
        <v/>
      </c>
      <c r="G128" s="5">
        <f>COUNTIF('2_Token'!$D$10:$AK$10,$A128)</f>
        <v/>
      </c>
      <c r="H128" s="5">
        <f>COUNTIF('2_Token'!$D$11:$AK$11,$A128)</f>
        <v/>
      </c>
      <c r="I128" s="5">
        <f>COUNTIF('2_Token'!$D$12:$AK$12,$A128)</f>
        <v/>
      </c>
      <c r="J128" s="5">
        <f>COUNTIF('2_Token'!$D$13:$AK$13,$A128)</f>
        <v/>
      </c>
      <c r="K128" s="5">
        <f>COUNTIF('2_Token'!$D$14:$AK$14,$A128)</f>
        <v/>
      </c>
      <c r="L128" s="5">
        <f>COUNTIF('2_Token'!$D$15:$AK$15,$A128)</f>
        <v/>
      </c>
      <c r="M128" s="5">
        <f>COUNTIF('2_Token'!$D$16:$AK$16,$A128)</f>
        <v/>
      </c>
      <c r="N128" s="5">
        <f>SUM(B128:M128)</f>
        <v/>
      </c>
    </row>
    <row r="129">
      <c r="A129" s="6" t="inlineStr">
        <is>
          <t>panah</t>
        </is>
      </c>
      <c r="B129" s="5">
        <f>COUNTIF('2_Token'!$D$5:$AK$5,$A129)</f>
        <v/>
      </c>
      <c r="C129" s="5">
        <f>COUNTIF('2_Token'!$D$6:$AK$6,$A129)</f>
        <v/>
      </c>
      <c r="D129" s="5">
        <f>COUNTIF('2_Token'!$D$7:$AK$7,$A129)</f>
        <v/>
      </c>
      <c r="E129" s="5">
        <f>COUNTIF('2_Token'!$D$8:$AK$8,$A129)</f>
        <v/>
      </c>
      <c r="F129" s="5">
        <f>COUNTIF('2_Token'!$D$9:$AK$9,$A129)</f>
        <v/>
      </c>
      <c r="G129" s="5">
        <f>COUNTIF('2_Token'!$D$10:$AK$10,$A129)</f>
        <v/>
      </c>
      <c r="H129" s="5">
        <f>COUNTIF('2_Token'!$D$11:$AK$11,$A129)</f>
        <v/>
      </c>
      <c r="I129" s="5">
        <f>COUNTIF('2_Token'!$D$12:$AK$12,$A129)</f>
        <v/>
      </c>
      <c r="J129" s="5">
        <f>COUNTIF('2_Token'!$D$13:$AK$13,$A129)</f>
        <v/>
      </c>
      <c r="K129" s="5">
        <f>COUNTIF('2_Token'!$D$14:$AK$14,$A129)</f>
        <v/>
      </c>
      <c r="L129" s="5">
        <f>COUNTIF('2_Token'!$D$15:$AK$15,$A129)</f>
        <v/>
      </c>
      <c r="M129" s="5">
        <f>COUNTIF('2_Token'!$D$16:$AK$16,$A129)</f>
        <v/>
      </c>
      <c r="N129" s="5">
        <f>SUM(B129:M129)</f>
        <v/>
      </c>
    </row>
    <row r="130">
      <c r="A130" s="6" t="inlineStr">
        <is>
          <t>pancing</t>
        </is>
      </c>
      <c r="B130" s="5">
        <f>COUNTIF('2_Token'!$D$5:$AK$5,$A130)</f>
        <v/>
      </c>
      <c r="C130" s="5">
        <f>COUNTIF('2_Token'!$D$6:$AK$6,$A130)</f>
        <v/>
      </c>
      <c r="D130" s="5">
        <f>COUNTIF('2_Token'!$D$7:$AK$7,$A130)</f>
        <v/>
      </c>
      <c r="E130" s="5">
        <f>COUNTIF('2_Token'!$D$8:$AK$8,$A130)</f>
        <v/>
      </c>
      <c r="F130" s="5">
        <f>COUNTIF('2_Token'!$D$9:$AK$9,$A130)</f>
        <v/>
      </c>
      <c r="G130" s="5">
        <f>COUNTIF('2_Token'!$D$10:$AK$10,$A130)</f>
        <v/>
      </c>
      <c r="H130" s="5">
        <f>COUNTIF('2_Token'!$D$11:$AK$11,$A130)</f>
        <v/>
      </c>
      <c r="I130" s="5">
        <f>COUNTIF('2_Token'!$D$12:$AK$12,$A130)</f>
        <v/>
      </c>
      <c r="J130" s="5">
        <f>COUNTIF('2_Token'!$D$13:$AK$13,$A130)</f>
        <v/>
      </c>
      <c r="K130" s="5">
        <f>COUNTIF('2_Token'!$D$14:$AK$14,$A130)</f>
        <v/>
      </c>
      <c r="L130" s="5">
        <f>COUNTIF('2_Token'!$D$15:$AK$15,$A130)</f>
        <v/>
      </c>
      <c r="M130" s="5">
        <f>COUNTIF('2_Token'!$D$16:$AK$16,$A130)</f>
        <v/>
      </c>
      <c r="N130" s="5">
        <f>SUM(B130:M130)</f>
        <v/>
      </c>
    </row>
    <row r="131">
      <c r="A131" s="6" t="inlineStr">
        <is>
          <t>pasar</t>
        </is>
      </c>
      <c r="B131" s="5">
        <f>COUNTIF('2_Token'!$D$5:$AK$5,$A131)</f>
        <v/>
      </c>
      <c r="C131" s="5">
        <f>COUNTIF('2_Token'!$D$6:$AK$6,$A131)</f>
        <v/>
      </c>
      <c r="D131" s="5">
        <f>COUNTIF('2_Token'!$D$7:$AK$7,$A131)</f>
        <v/>
      </c>
      <c r="E131" s="5">
        <f>COUNTIF('2_Token'!$D$8:$AK$8,$A131)</f>
        <v/>
      </c>
      <c r="F131" s="5">
        <f>COUNTIF('2_Token'!$D$9:$AK$9,$A131)</f>
        <v/>
      </c>
      <c r="G131" s="5">
        <f>COUNTIF('2_Token'!$D$10:$AK$10,$A131)</f>
        <v/>
      </c>
      <c r="H131" s="5">
        <f>COUNTIF('2_Token'!$D$11:$AK$11,$A131)</f>
        <v/>
      </c>
      <c r="I131" s="5">
        <f>COUNTIF('2_Token'!$D$12:$AK$12,$A131)</f>
        <v/>
      </c>
      <c r="J131" s="5">
        <f>COUNTIF('2_Token'!$D$13:$AK$13,$A131)</f>
        <v/>
      </c>
      <c r="K131" s="5">
        <f>COUNTIF('2_Token'!$D$14:$AK$14,$A131)</f>
        <v/>
      </c>
      <c r="L131" s="5">
        <f>COUNTIF('2_Token'!$D$15:$AK$15,$A131)</f>
        <v/>
      </c>
      <c r="M131" s="5">
        <f>COUNTIF('2_Token'!$D$16:$AK$16,$A131)</f>
        <v/>
      </c>
      <c r="N131" s="5">
        <f>SUM(B131:M131)</f>
        <v/>
      </c>
    </row>
    <row r="132">
      <c r="A132" s="6" t="inlineStr">
        <is>
          <t>pegawai</t>
        </is>
      </c>
      <c r="B132" s="5">
        <f>COUNTIF('2_Token'!$D$5:$AK$5,$A132)</f>
        <v/>
      </c>
      <c r="C132" s="5">
        <f>COUNTIF('2_Token'!$D$6:$AK$6,$A132)</f>
        <v/>
      </c>
      <c r="D132" s="5">
        <f>COUNTIF('2_Token'!$D$7:$AK$7,$A132)</f>
        <v/>
      </c>
      <c r="E132" s="5">
        <f>COUNTIF('2_Token'!$D$8:$AK$8,$A132)</f>
        <v/>
      </c>
      <c r="F132" s="5">
        <f>COUNTIF('2_Token'!$D$9:$AK$9,$A132)</f>
        <v/>
      </c>
      <c r="G132" s="5">
        <f>COUNTIF('2_Token'!$D$10:$AK$10,$A132)</f>
        <v/>
      </c>
      <c r="H132" s="5">
        <f>COUNTIF('2_Token'!$D$11:$AK$11,$A132)</f>
        <v/>
      </c>
      <c r="I132" s="5">
        <f>COUNTIF('2_Token'!$D$12:$AK$12,$A132)</f>
        <v/>
      </c>
      <c r="J132" s="5">
        <f>COUNTIF('2_Token'!$D$13:$AK$13,$A132)</f>
        <v/>
      </c>
      <c r="K132" s="5">
        <f>COUNTIF('2_Token'!$D$14:$AK$14,$A132)</f>
        <v/>
      </c>
      <c r="L132" s="5">
        <f>COUNTIF('2_Token'!$D$15:$AK$15,$A132)</f>
        <v/>
      </c>
      <c r="M132" s="5">
        <f>COUNTIF('2_Token'!$D$16:$AK$16,$A132)</f>
        <v/>
      </c>
      <c r="N132" s="5">
        <f>SUM(B132:M132)</f>
        <v/>
      </c>
    </row>
    <row r="133">
      <c r="A133" s="6" t="inlineStr">
        <is>
          <t>pekayon</t>
        </is>
      </c>
      <c r="B133" s="5">
        <f>COUNTIF('2_Token'!$D$5:$AK$5,$A133)</f>
        <v/>
      </c>
      <c r="C133" s="5">
        <f>COUNTIF('2_Token'!$D$6:$AK$6,$A133)</f>
        <v/>
      </c>
      <c r="D133" s="5">
        <f>COUNTIF('2_Token'!$D$7:$AK$7,$A133)</f>
        <v/>
      </c>
      <c r="E133" s="5">
        <f>COUNTIF('2_Token'!$D$8:$AK$8,$A133)</f>
        <v/>
      </c>
      <c r="F133" s="5">
        <f>COUNTIF('2_Token'!$D$9:$AK$9,$A133)</f>
        <v/>
      </c>
      <c r="G133" s="5">
        <f>COUNTIF('2_Token'!$D$10:$AK$10,$A133)</f>
        <v/>
      </c>
      <c r="H133" s="5">
        <f>COUNTIF('2_Token'!$D$11:$AK$11,$A133)</f>
        <v/>
      </c>
      <c r="I133" s="5">
        <f>COUNTIF('2_Token'!$D$12:$AK$12,$A133)</f>
        <v/>
      </c>
      <c r="J133" s="5">
        <f>COUNTIF('2_Token'!$D$13:$AK$13,$A133)</f>
        <v/>
      </c>
      <c r="K133" s="5">
        <f>COUNTIF('2_Token'!$D$14:$AK$14,$A133)</f>
        <v/>
      </c>
      <c r="L133" s="5">
        <f>COUNTIF('2_Token'!$D$15:$AK$15,$A133)</f>
        <v/>
      </c>
      <c r="M133" s="5">
        <f>COUNTIF('2_Token'!$D$16:$AK$16,$A133)</f>
        <v/>
      </c>
      <c r="N133" s="5">
        <f>SUM(B133:M133)</f>
        <v/>
      </c>
    </row>
    <row r="134">
      <c r="A134" s="6" t="inlineStr">
        <is>
          <t>penting</t>
        </is>
      </c>
      <c r="B134" s="5">
        <f>COUNTIF('2_Token'!$D$5:$AK$5,$A134)</f>
        <v/>
      </c>
      <c r="C134" s="5">
        <f>COUNTIF('2_Token'!$D$6:$AK$6,$A134)</f>
        <v/>
      </c>
      <c r="D134" s="5">
        <f>COUNTIF('2_Token'!$D$7:$AK$7,$A134)</f>
        <v/>
      </c>
      <c r="E134" s="5">
        <f>COUNTIF('2_Token'!$D$8:$AK$8,$A134)</f>
        <v/>
      </c>
      <c r="F134" s="5">
        <f>COUNTIF('2_Token'!$D$9:$AK$9,$A134)</f>
        <v/>
      </c>
      <c r="G134" s="5">
        <f>COUNTIF('2_Token'!$D$10:$AK$10,$A134)</f>
        <v/>
      </c>
      <c r="H134" s="5">
        <f>COUNTIF('2_Token'!$D$11:$AK$11,$A134)</f>
        <v/>
      </c>
      <c r="I134" s="5">
        <f>COUNTIF('2_Token'!$D$12:$AK$12,$A134)</f>
        <v/>
      </c>
      <c r="J134" s="5">
        <f>COUNTIF('2_Token'!$D$13:$AK$13,$A134)</f>
        <v/>
      </c>
      <c r="K134" s="5">
        <f>COUNTIF('2_Token'!$D$14:$AK$14,$A134)</f>
        <v/>
      </c>
      <c r="L134" s="5">
        <f>COUNTIF('2_Token'!$D$15:$AK$15,$A134)</f>
        <v/>
      </c>
      <c r="M134" s="5">
        <f>COUNTIF('2_Token'!$D$16:$AK$16,$A134)</f>
        <v/>
      </c>
      <c r="N134" s="5">
        <f>SUM(B134:M134)</f>
        <v/>
      </c>
    </row>
    <row r="135">
      <c r="A135" s="6" t="inlineStr">
        <is>
          <t>perintah</t>
        </is>
      </c>
      <c r="B135" s="5">
        <f>COUNTIF('2_Token'!$D$5:$AK$5,$A135)</f>
        <v/>
      </c>
      <c r="C135" s="5">
        <f>COUNTIF('2_Token'!$D$6:$AK$6,$A135)</f>
        <v/>
      </c>
      <c r="D135" s="5">
        <f>COUNTIF('2_Token'!$D$7:$AK$7,$A135)</f>
        <v/>
      </c>
      <c r="E135" s="5">
        <f>COUNTIF('2_Token'!$D$8:$AK$8,$A135)</f>
        <v/>
      </c>
      <c r="F135" s="5">
        <f>COUNTIF('2_Token'!$D$9:$AK$9,$A135)</f>
        <v/>
      </c>
      <c r="G135" s="5">
        <f>COUNTIF('2_Token'!$D$10:$AK$10,$A135)</f>
        <v/>
      </c>
      <c r="H135" s="5">
        <f>COUNTIF('2_Token'!$D$11:$AK$11,$A135)</f>
        <v/>
      </c>
      <c r="I135" s="5">
        <f>COUNTIF('2_Token'!$D$12:$AK$12,$A135)</f>
        <v/>
      </c>
      <c r="J135" s="5">
        <f>COUNTIF('2_Token'!$D$13:$AK$13,$A135)</f>
        <v/>
      </c>
      <c r="K135" s="5">
        <f>COUNTIF('2_Token'!$D$14:$AK$14,$A135)</f>
        <v/>
      </c>
      <c r="L135" s="5">
        <f>COUNTIF('2_Token'!$D$15:$AK$15,$A135)</f>
        <v/>
      </c>
      <c r="M135" s="5">
        <f>COUNTIF('2_Token'!$D$16:$AK$16,$A135)</f>
        <v/>
      </c>
      <c r="N135" s="5">
        <f>SUM(B135:M135)</f>
        <v/>
      </c>
    </row>
    <row r="136">
      <c r="A136" s="6" t="inlineStr">
        <is>
          <t>periode</t>
        </is>
      </c>
      <c r="B136" s="5">
        <f>COUNTIF('2_Token'!$D$5:$AK$5,$A136)</f>
        <v/>
      </c>
      <c r="C136" s="5">
        <f>COUNTIF('2_Token'!$D$6:$AK$6,$A136)</f>
        <v/>
      </c>
      <c r="D136" s="5">
        <f>COUNTIF('2_Token'!$D$7:$AK$7,$A136)</f>
        <v/>
      </c>
      <c r="E136" s="5">
        <f>COUNTIF('2_Token'!$D$8:$AK$8,$A136)</f>
        <v/>
      </c>
      <c r="F136" s="5">
        <f>COUNTIF('2_Token'!$D$9:$AK$9,$A136)</f>
        <v/>
      </c>
      <c r="G136" s="5">
        <f>COUNTIF('2_Token'!$D$10:$AK$10,$A136)</f>
        <v/>
      </c>
      <c r="H136" s="5">
        <f>COUNTIF('2_Token'!$D$11:$AK$11,$A136)</f>
        <v/>
      </c>
      <c r="I136" s="5">
        <f>COUNTIF('2_Token'!$D$12:$AK$12,$A136)</f>
        <v/>
      </c>
      <c r="J136" s="5">
        <f>COUNTIF('2_Token'!$D$13:$AK$13,$A136)</f>
        <v/>
      </c>
      <c r="K136" s="5">
        <f>COUNTIF('2_Token'!$D$14:$AK$14,$A136)</f>
        <v/>
      </c>
      <c r="L136" s="5">
        <f>COUNTIF('2_Token'!$D$15:$AK$15,$A136)</f>
        <v/>
      </c>
      <c r="M136" s="5">
        <f>COUNTIF('2_Token'!$D$16:$AK$16,$A136)</f>
        <v/>
      </c>
      <c r="N136" s="5">
        <f>SUM(B136:M136)</f>
        <v/>
      </c>
    </row>
    <row r="137">
      <c r="A137" s="6" t="inlineStr">
        <is>
          <t>pesawat</t>
        </is>
      </c>
      <c r="B137" s="5">
        <f>COUNTIF('2_Token'!$D$5:$AK$5,$A137)</f>
        <v/>
      </c>
      <c r="C137" s="5">
        <f>COUNTIF('2_Token'!$D$6:$AK$6,$A137)</f>
        <v/>
      </c>
      <c r="D137" s="5">
        <f>COUNTIF('2_Token'!$D$7:$AK$7,$A137)</f>
        <v/>
      </c>
      <c r="E137" s="5">
        <f>COUNTIF('2_Token'!$D$8:$AK$8,$A137)</f>
        <v/>
      </c>
      <c r="F137" s="5">
        <f>COUNTIF('2_Token'!$D$9:$AK$9,$A137)</f>
        <v/>
      </c>
      <c r="G137" s="5">
        <f>COUNTIF('2_Token'!$D$10:$AK$10,$A137)</f>
        <v/>
      </c>
      <c r="H137" s="5">
        <f>COUNTIF('2_Token'!$D$11:$AK$11,$A137)</f>
        <v/>
      </c>
      <c r="I137" s="5">
        <f>COUNTIF('2_Token'!$D$12:$AK$12,$A137)</f>
        <v/>
      </c>
      <c r="J137" s="5">
        <f>COUNTIF('2_Token'!$D$13:$AK$13,$A137)</f>
        <v/>
      </c>
      <c r="K137" s="5">
        <f>COUNTIF('2_Token'!$D$14:$AK$14,$A137)</f>
        <v/>
      </c>
      <c r="L137" s="5">
        <f>COUNTIF('2_Token'!$D$15:$AK$15,$A137)</f>
        <v/>
      </c>
      <c r="M137" s="5">
        <f>COUNTIF('2_Token'!$D$16:$AK$16,$A137)</f>
        <v/>
      </c>
      <c r="N137" s="5">
        <f>SUM(B137:M137)</f>
        <v/>
      </c>
    </row>
    <row r="138">
      <c r="A138" s="6" t="inlineStr">
        <is>
          <t>petugas</t>
        </is>
      </c>
      <c r="B138" s="5">
        <f>COUNTIF('2_Token'!$D$5:$AK$5,$A138)</f>
        <v/>
      </c>
      <c r="C138" s="5">
        <f>COUNTIF('2_Token'!$D$6:$AK$6,$A138)</f>
        <v/>
      </c>
      <c r="D138" s="5">
        <f>COUNTIF('2_Token'!$D$7:$AK$7,$A138)</f>
        <v/>
      </c>
      <c r="E138" s="5">
        <f>COUNTIF('2_Token'!$D$8:$AK$8,$A138)</f>
        <v/>
      </c>
      <c r="F138" s="5">
        <f>COUNTIF('2_Token'!$D$9:$AK$9,$A138)</f>
        <v/>
      </c>
      <c r="G138" s="5">
        <f>COUNTIF('2_Token'!$D$10:$AK$10,$A138)</f>
        <v/>
      </c>
      <c r="H138" s="5">
        <f>COUNTIF('2_Token'!$D$11:$AK$11,$A138)</f>
        <v/>
      </c>
      <c r="I138" s="5">
        <f>COUNTIF('2_Token'!$D$12:$AK$12,$A138)</f>
        <v/>
      </c>
      <c r="J138" s="5">
        <f>COUNTIF('2_Token'!$D$13:$AK$13,$A138)</f>
        <v/>
      </c>
      <c r="K138" s="5">
        <f>COUNTIF('2_Token'!$D$14:$AK$14,$A138)</f>
        <v/>
      </c>
      <c r="L138" s="5">
        <f>COUNTIF('2_Token'!$D$15:$AK$15,$A138)</f>
        <v/>
      </c>
      <c r="M138" s="5">
        <f>COUNTIF('2_Token'!$D$16:$AK$16,$A138)</f>
        <v/>
      </c>
      <c r="N138" s="5">
        <f>SUM(B138:M138)</f>
        <v/>
      </c>
    </row>
    <row r="139">
      <c r="A139" s="6" t="inlineStr">
        <is>
          <t>pihak</t>
        </is>
      </c>
      <c r="B139" s="5">
        <f>COUNTIF('2_Token'!$D$5:$AK$5,$A139)</f>
        <v/>
      </c>
      <c r="C139" s="5">
        <f>COUNTIF('2_Token'!$D$6:$AK$6,$A139)</f>
        <v/>
      </c>
      <c r="D139" s="5">
        <f>COUNTIF('2_Token'!$D$7:$AK$7,$A139)</f>
        <v/>
      </c>
      <c r="E139" s="5">
        <f>COUNTIF('2_Token'!$D$8:$AK$8,$A139)</f>
        <v/>
      </c>
      <c r="F139" s="5">
        <f>COUNTIF('2_Token'!$D$9:$AK$9,$A139)</f>
        <v/>
      </c>
      <c r="G139" s="5">
        <f>COUNTIF('2_Token'!$D$10:$AK$10,$A139)</f>
        <v/>
      </c>
      <c r="H139" s="5">
        <f>COUNTIF('2_Token'!$D$11:$AK$11,$A139)</f>
        <v/>
      </c>
      <c r="I139" s="5">
        <f>COUNTIF('2_Token'!$D$12:$AK$12,$A139)</f>
        <v/>
      </c>
      <c r="J139" s="5">
        <f>COUNTIF('2_Token'!$D$13:$AK$13,$A139)</f>
        <v/>
      </c>
      <c r="K139" s="5">
        <f>COUNTIF('2_Token'!$D$14:$AK$14,$A139)</f>
        <v/>
      </c>
      <c r="L139" s="5">
        <f>COUNTIF('2_Token'!$D$15:$AK$15,$A139)</f>
        <v/>
      </c>
      <c r="M139" s="5">
        <f>COUNTIF('2_Token'!$D$16:$AK$16,$A139)</f>
        <v/>
      </c>
      <c r="N139" s="5">
        <f>SUM(B139:M139)</f>
        <v/>
      </c>
    </row>
    <row r="140">
      <c r="A140" s="6" t="inlineStr">
        <is>
          <t>prabowo</t>
        </is>
      </c>
      <c r="B140" s="5">
        <f>COUNTIF('2_Token'!$D$5:$AK$5,$A140)</f>
        <v/>
      </c>
      <c r="C140" s="5">
        <f>COUNTIF('2_Token'!$D$6:$AK$6,$A140)</f>
        <v/>
      </c>
      <c r="D140" s="5">
        <f>COUNTIF('2_Token'!$D$7:$AK$7,$A140)</f>
        <v/>
      </c>
      <c r="E140" s="5">
        <f>COUNTIF('2_Token'!$D$8:$AK$8,$A140)</f>
        <v/>
      </c>
      <c r="F140" s="5">
        <f>COUNTIF('2_Token'!$D$9:$AK$9,$A140)</f>
        <v/>
      </c>
      <c r="G140" s="5">
        <f>COUNTIF('2_Token'!$D$10:$AK$10,$A140)</f>
        <v/>
      </c>
      <c r="H140" s="5">
        <f>COUNTIF('2_Token'!$D$11:$AK$11,$A140)</f>
        <v/>
      </c>
      <c r="I140" s="5">
        <f>COUNTIF('2_Token'!$D$12:$AK$12,$A140)</f>
        <v/>
      </c>
      <c r="J140" s="5">
        <f>COUNTIF('2_Token'!$D$13:$AK$13,$A140)</f>
        <v/>
      </c>
      <c r="K140" s="5">
        <f>COUNTIF('2_Token'!$D$14:$AK$14,$A140)</f>
        <v/>
      </c>
      <c r="L140" s="5">
        <f>COUNTIF('2_Token'!$D$15:$AK$15,$A140)</f>
        <v/>
      </c>
      <c r="M140" s="5">
        <f>COUNTIF('2_Token'!$D$16:$AK$16,$A140)</f>
        <v/>
      </c>
      <c r="N140" s="5">
        <f>SUM(B140:M140)</f>
        <v/>
      </c>
    </row>
    <row r="141">
      <c r="A141" s="6" t="inlineStr">
        <is>
          <t>prajurit</t>
        </is>
      </c>
      <c r="B141" s="5">
        <f>COUNTIF('2_Token'!$D$5:$AK$5,$A141)</f>
        <v/>
      </c>
      <c r="C141" s="5">
        <f>COUNTIF('2_Token'!$D$6:$AK$6,$A141)</f>
        <v/>
      </c>
      <c r="D141" s="5">
        <f>COUNTIF('2_Token'!$D$7:$AK$7,$A141)</f>
        <v/>
      </c>
      <c r="E141" s="5">
        <f>COUNTIF('2_Token'!$D$8:$AK$8,$A141)</f>
        <v/>
      </c>
      <c r="F141" s="5">
        <f>COUNTIF('2_Token'!$D$9:$AK$9,$A141)</f>
        <v/>
      </c>
      <c r="G141" s="5">
        <f>COUNTIF('2_Token'!$D$10:$AK$10,$A141)</f>
        <v/>
      </c>
      <c r="H141" s="5">
        <f>COUNTIF('2_Token'!$D$11:$AK$11,$A141)</f>
        <v/>
      </c>
      <c r="I141" s="5">
        <f>COUNTIF('2_Token'!$D$12:$AK$12,$A141)</f>
        <v/>
      </c>
      <c r="J141" s="5">
        <f>COUNTIF('2_Token'!$D$13:$AK$13,$A141)</f>
        <v/>
      </c>
      <c r="K141" s="5">
        <f>COUNTIF('2_Token'!$D$14:$AK$14,$A141)</f>
        <v/>
      </c>
      <c r="L141" s="5">
        <f>COUNTIF('2_Token'!$D$15:$AK$15,$A141)</f>
        <v/>
      </c>
      <c r="M141" s="5">
        <f>COUNTIF('2_Token'!$D$16:$AK$16,$A141)</f>
        <v/>
      </c>
      <c r="N141" s="5">
        <f>SUM(B141:M141)</f>
        <v/>
      </c>
    </row>
    <row r="142">
      <c r="A142" s="6" t="inlineStr">
        <is>
          <t>prasarana</t>
        </is>
      </c>
      <c r="B142" s="5">
        <f>COUNTIF('2_Token'!$D$5:$AK$5,$A142)</f>
        <v/>
      </c>
      <c r="C142" s="5">
        <f>COUNTIF('2_Token'!$D$6:$AK$6,$A142)</f>
        <v/>
      </c>
      <c r="D142" s="5">
        <f>COUNTIF('2_Token'!$D$7:$AK$7,$A142)</f>
        <v/>
      </c>
      <c r="E142" s="5">
        <f>COUNTIF('2_Token'!$D$8:$AK$8,$A142)</f>
        <v/>
      </c>
      <c r="F142" s="5">
        <f>COUNTIF('2_Token'!$D$9:$AK$9,$A142)</f>
        <v/>
      </c>
      <c r="G142" s="5">
        <f>COUNTIF('2_Token'!$D$10:$AK$10,$A142)</f>
        <v/>
      </c>
      <c r="H142" s="5">
        <f>COUNTIF('2_Token'!$D$11:$AK$11,$A142)</f>
        <v/>
      </c>
      <c r="I142" s="5">
        <f>COUNTIF('2_Token'!$D$12:$AK$12,$A142)</f>
        <v/>
      </c>
      <c r="J142" s="5">
        <f>COUNTIF('2_Token'!$D$13:$AK$13,$A142)</f>
        <v/>
      </c>
      <c r="K142" s="5">
        <f>COUNTIF('2_Token'!$D$14:$AK$14,$A142)</f>
        <v/>
      </c>
      <c r="L142" s="5">
        <f>COUNTIF('2_Token'!$D$15:$AK$15,$A142)</f>
        <v/>
      </c>
      <c r="M142" s="5">
        <f>COUNTIF('2_Token'!$D$16:$AK$16,$A142)</f>
        <v/>
      </c>
      <c r="N142" s="5">
        <f>SUM(B142:M142)</f>
        <v/>
      </c>
    </row>
    <row r="143">
      <c r="A143" s="6" t="inlineStr">
        <is>
          <t>prasetyo</t>
        </is>
      </c>
      <c r="B143" s="5">
        <f>COUNTIF('2_Token'!$D$5:$AK$5,$A143)</f>
        <v/>
      </c>
      <c r="C143" s="5">
        <f>COUNTIF('2_Token'!$D$6:$AK$6,$A143)</f>
        <v/>
      </c>
      <c r="D143" s="5">
        <f>COUNTIF('2_Token'!$D$7:$AK$7,$A143)</f>
        <v/>
      </c>
      <c r="E143" s="5">
        <f>COUNTIF('2_Token'!$D$8:$AK$8,$A143)</f>
        <v/>
      </c>
      <c r="F143" s="5">
        <f>COUNTIF('2_Token'!$D$9:$AK$9,$A143)</f>
        <v/>
      </c>
      <c r="G143" s="5">
        <f>COUNTIF('2_Token'!$D$10:$AK$10,$A143)</f>
        <v/>
      </c>
      <c r="H143" s="5">
        <f>COUNTIF('2_Token'!$D$11:$AK$11,$A143)</f>
        <v/>
      </c>
      <c r="I143" s="5">
        <f>COUNTIF('2_Token'!$D$12:$AK$12,$A143)</f>
        <v/>
      </c>
      <c r="J143" s="5">
        <f>COUNTIF('2_Token'!$D$13:$AK$13,$A143)</f>
        <v/>
      </c>
      <c r="K143" s="5">
        <f>COUNTIF('2_Token'!$D$14:$AK$14,$A143)</f>
        <v/>
      </c>
      <c r="L143" s="5">
        <f>COUNTIF('2_Token'!$D$15:$AK$15,$A143)</f>
        <v/>
      </c>
      <c r="M143" s="5">
        <f>COUNTIF('2_Token'!$D$16:$AK$16,$A143)</f>
        <v/>
      </c>
      <c r="N143" s="5">
        <f>SUM(B143:M143)</f>
        <v/>
      </c>
    </row>
    <row r="144">
      <c r="A144" s="6" t="inlineStr">
        <is>
          <t>presiden</t>
        </is>
      </c>
      <c r="B144" s="5">
        <f>COUNTIF('2_Token'!$D$5:$AK$5,$A144)</f>
        <v/>
      </c>
      <c r="C144" s="5">
        <f>COUNTIF('2_Token'!$D$6:$AK$6,$A144)</f>
        <v/>
      </c>
      <c r="D144" s="5">
        <f>COUNTIF('2_Token'!$D$7:$AK$7,$A144)</f>
        <v/>
      </c>
      <c r="E144" s="5">
        <f>COUNTIF('2_Token'!$D$8:$AK$8,$A144)</f>
        <v/>
      </c>
      <c r="F144" s="5">
        <f>COUNTIF('2_Token'!$D$9:$AK$9,$A144)</f>
        <v/>
      </c>
      <c r="G144" s="5">
        <f>COUNTIF('2_Token'!$D$10:$AK$10,$A144)</f>
        <v/>
      </c>
      <c r="H144" s="5">
        <f>COUNTIF('2_Token'!$D$11:$AK$11,$A144)</f>
        <v/>
      </c>
      <c r="I144" s="5">
        <f>COUNTIF('2_Token'!$D$12:$AK$12,$A144)</f>
        <v/>
      </c>
      <c r="J144" s="5">
        <f>COUNTIF('2_Token'!$D$13:$AK$13,$A144)</f>
        <v/>
      </c>
      <c r="K144" s="5">
        <f>COUNTIF('2_Token'!$D$14:$AK$14,$A144)</f>
        <v/>
      </c>
      <c r="L144" s="5">
        <f>COUNTIF('2_Token'!$D$15:$AK$15,$A144)</f>
        <v/>
      </c>
      <c r="M144" s="5">
        <f>COUNTIF('2_Token'!$D$16:$AK$16,$A144)</f>
        <v/>
      </c>
      <c r="N144" s="5">
        <f>SUM(B144:M144)</f>
        <v/>
      </c>
    </row>
    <row r="145">
      <c r="A145" s="6" t="inlineStr">
        <is>
          <t>program</t>
        </is>
      </c>
      <c r="B145" s="5">
        <f>COUNTIF('2_Token'!$D$5:$AK$5,$A145)</f>
        <v/>
      </c>
      <c r="C145" s="5">
        <f>COUNTIF('2_Token'!$D$6:$AK$6,$A145)</f>
        <v/>
      </c>
      <c r="D145" s="5">
        <f>COUNTIF('2_Token'!$D$7:$AK$7,$A145)</f>
        <v/>
      </c>
      <c r="E145" s="5">
        <f>COUNTIF('2_Token'!$D$8:$AK$8,$A145)</f>
        <v/>
      </c>
      <c r="F145" s="5">
        <f>COUNTIF('2_Token'!$D$9:$AK$9,$A145)</f>
        <v/>
      </c>
      <c r="G145" s="5">
        <f>COUNTIF('2_Token'!$D$10:$AK$10,$A145)</f>
        <v/>
      </c>
      <c r="H145" s="5">
        <f>COUNTIF('2_Token'!$D$11:$AK$11,$A145)</f>
        <v/>
      </c>
      <c r="I145" s="5">
        <f>COUNTIF('2_Token'!$D$12:$AK$12,$A145)</f>
        <v/>
      </c>
      <c r="J145" s="5">
        <f>COUNTIF('2_Token'!$D$13:$AK$13,$A145)</f>
        <v/>
      </c>
      <c r="K145" s="5">
        <f>COUNTIF('2_Token'!$D$14:$AK$14,$A145)</f>
        <v/>
      </c>
      <c r="L145" s="5">
        <f>COUNTIF('2_Token'!$D$15:$AK$15,$A145)</f>
        <v/>
      </c>
      <c r="M145" s="5">
        <f>COUNTIF('2_Token'!$D$16:$AK$16,$A145)</f>
        <v/>
      </c>
      <c r="N145" s="5">
        <f>SUM(B145:M145)</f>
        <v/>
      </c>
    </row>
    <row r="146">
      <c r="A146" s="6" t="inlineStr">
        <is>
          <t>protein</t>
        </is>
      </c>
      <c r="B146" s="5">
        <f>COUNTIF('2_Token'!$D$5:$AK$5,$A146)</f>
        <v/>
      </c>
      <c r="C146" s="5">
        <f>COUNTIF('2_Token'!$D$6:$AK$6,$A146)</f>
        <v/>
      </c>
      <c r="D146" s="5">
        <f>COUNTIF('2_Token'!$D$7:$AK$7,$A146)</f>
        <v/>
      </c>
      <c r="E146" s="5">
        <f>COUNTIF('2_Token'!$D$8:$AK$8,$A146)</f>
        <v/>
      </c>
      <c r="F146" s="5">
        <f>COUNTIF('2_Token'!$D$9:$AK$9,$A146)</f>
        <v/>
      </c>
      <c r="G146" s="5">
        <f>COUNTIF('2_Token'!$D$10:$AK$10,$A146)</f>
        <v/>
      </c>
      <c r="H146" s="5">
        <f>COUNTIF('2_Token'!$D$11:$AK$11,$A146)</f>
        <v/>
      </c>
      <c r="I146" s="5">
        <f>COUNTIF('2_Token'!$D$12:$AK$12,$A146)</f>
        <v/>
      </c>
      <c r="J146" s="5">
        <f>COUNTIF('2_Token'!$D$13:$AK$13,$A146)</f>
        <v/>
      </c>
      <c r="K146" s="5">
        <f>COUNTIF('2_Token'!$D$14:$AK$14,$A146)</f>
        <v/>
      </c>
      <c r="L146" s="5">
        <f>COUNTIF('2_Token'!$D$15:$AK$15,$A146)</f>
        <v/>
      </c>
      <c r="M146" s="5">
        <f>COUNTIF('2_Token'!$D$16:$AK$16,$A146)</f>
        <v/>
      </c>
      <c r="N146" s="5">
        <f>SUM(B146:M146)</f>
        <v/>
      </c>
    </row>
    <row r="147">
      <c r="A147" s="6" t="inlineStr">
        <is>
          <t>proyek</t>
        </is>
      </c>
      <c r="B147" s="5">
        <f>COUNTIF('2_Token'!$D$5:$AK$5,$A147)</f>
        <v/>
      </c>
      <c r="C147" s="5">
        <f>COUNTIF('2_Token'!$D$6:$AK$6,$A147)</f>
        <v/>
      </c>
      <c r="D147" s="5">
        <f>COUNTIF('2_Token'!$D$7:$AK$7,$A147)</f>
        <v/>
      </c>
      <c r="E147" s="5">
        <f>COUNTIF('2_Token'!$D$8:$AK$8,$A147)</f>
        <v/>
      </c>
      <c r="F147" s="5">
        <f>COUNTIF('2_Token'!$D$9:$AK$9,$A147)</f>
        <v/>
      </c>
      <c r="G147" s="5">
        <f>COUNTIF('2_Token'!$D$10:$AK$10,$A147)</f>
        <v/>
      </c>
      <c r="H147" s="5">
        <f>COUNTIF('2_Token'!$D$11:$AK$11,$A147)</f>
        <v/>
      </c>
      <c r="I147" s="5">
        <f>COUNTIF('2_Token'!$D$12:$AK$12,$A147)</f>
        <v/>
      </c>
      <c r="J147" s="5">
        <f>COUNTIF('2_Token'!$D$13:$AK$13,$A147)</f>
        <v/>
      </c>
      <c r="K147" s="5">
        <f>COUNTIF('2_Token'!$D$14:$AK$14,$A147)</f>
        <v/>
      </c>
      <c r="L147" s="5">
        <f>COUNTIF('2_Token'!$D$15:$AK$15,$A147)</f>
        <v/>
      </c>
      <c r="M147" s="5">
        <f>COUNTIF('2_Token'!$D$16:$AK$16,$A147)</f>
        <v/>
      </c>
      <c r="N147" s="5">
        <f>SUM(B147:M147)</f>
        <v/>
      </c>
    </row>
    <row r="148">
      <c r="A148" s="6" t="inlineStr">
        <is>
          <t>psn</t>
        </is>
      </c>
      <c r="B148" s="5">
        <f>COUNTIF('2_Token'!$D$5:$AK$5,$A148)</f>
        <v/>
      </c>
      <c r="C148" s="5">
        <f>COUNTIF('2_Token'!$D$6:$AK$6,$A148)</f>
        <v/>
      </c>
      <c r="D148" s="5">
        <f>COUNTIF('2_Token'!$D$7:$AK$7,$A148)</f>
        <v/>
      </c>
      <c r="E148" s="5">
        <f>COUNTIF('2_Token'!$D$8:$AK$8,$A148)</f>
        <v/>
      </c>
      <c r="F148" s="5">
        <f>COUNTIF('2_Token'!$D$9:$AK$9,$A148)</f>
        <v/>
      </c>
      <c r="G148" s="5">
        <f>COUNTIF('2_Token'!$D$10:$AK$10,$A148)</f>
        <v/>
      </c>
      <c r="H148" s="5">
        <f>COUNTIF('2_Token'!$D$11:$AK$11,$A148)</f>
        <v/>
      </c>
      <c r="I148" s="5">
        <f>COUNTIF('2_Token'!$D$12:$AK$12,$A148)</f>
        <v/>
      </c>
      <c r="J148" s="5">
        <f>COUNTIF('2_Token'!$D$13:$AK$13,$A148)</f>
        <v/>
      </c>
      <c r="K148" s="5">
        <f>COUNTIF('2_Token'!$D$14:$AK$14,$A148)</f>
        <v/>
      </c>
      <c r="L148" s="5">
        <f>COUNTIF('2_Token'!$D$15:$AK$15,$A148)</f>
        <v/>
      </c>
      <c r="M148" s="5">
        <f>COUNTIF('2_Token'!$D$16:$AK$16,$A148)</f>
        <v/>
      </c>
      <c r="N148" s="5">
        <f>SUM(B148:M148)</f>
        <v/>
      </c>
    </row>
    <row r="149">
      <c r="A149" s="6" t="inlineStr">
        <is>
          <t>publik</t>
        </is>
      </c>
      <c r="B149" s="5">
        <f>COUNTIF('2_Token'!$D$5:$AK$5,$A149)</f>
        <v/>
      </c>
      <c r="C149" s="5">
        <f>COUNTIF('2_Token'!$D$6:$AK$6,$A149)</f>
        <v/>
      </c>
      <c r="D149" s="5">
        <f>COUNTIF('2_Token'!$D$7:$AK$7,$A149)</f>
        <v/>
      </c>
      <c r="E149" s="5">
        <f>COUNTIF('2_Token'!$D$8:$AK$8,$A149)</f>
        <v/>
      </c>
      <c r="F149" s="5">
        <f>COUNTIF('2_Token'!$D$9:$AK$9,$A149)</f>
        <v/>
      </c>
      <c r="G149" s="5">
        <f>COUNTIF('2_Token'!$D$10:$AK$10,$A149)</f>
        <v/>
      </c>
      <c r="H149" s="5">
        <f>COUNTIF('2_Token'!$D$11:$AK$11,$A149)</f>
        <v/>
      </c>
      <c r="I149" s="5">
        <f>COUNTIF('2_Token'!$D$12:$AK$12,$A149)</f>
        <v/>
      </c>
      <c r="J149" s="5">
        <f>COUNTIF('2_Token'!$D$13:$AK$13,$A149)</f>
        <v/>
      </c>
      <c r="K149" s="5">
        <f>COUNTIF('2_Token'!$D$14:$AK$14,$A149)</f>
        <v/>
      </c>
      <c r="L149" s="5">
        <f>COUNTIF('2_Token'!$D$15:$AK$15,$A149)</f>
        <v/>
      </c>
      <c r="M149" s="5">
        <f>COUNTIF('2_Token'!$D$16:$AK$16,$A149)</f>
        <v/>
      </c>
      <c r="N149" s="5">
        <f>SUM(B149:M149)</f>
        <v/>
      </c>
    </row>
    <row r="150">
      <c r="A150" s="6" t="inlineStr">
        <is>
          <t>purbaya</t>
        </is>
      </c>
      <c r="B150" s="5">
        <f>COUNTIF('2_Token'!$D$5:$AK$5,$A150)</f>
        <v/>
      </c>
      <c r="C150" s="5">
        <f>COUNTIF('2_Token'!$D$6:$AK$6,$A150)</f>
        <v/>
      </c>
      <c r="D150" s="5">
        <f>COUNTIF('2_Token'!$D$7:$AK$7,$A150)</f>
        <v/>
      </c>
      <c r="E150" s="5">
        <f>COUNTIF('2_Token'!$D$8:$AK$8,$A150)</f>
        <v/>
      </c>
      <c r="F150" s="5">
        <f>COUNTIF('2_Token'!$D$9:$AK$9,$A150)</f>
        <v/>
      </c>
      <c r="G150" s="5">
        <f>COUNTIF('2_Token'!$D$10:$AK$10,$A150)</f>
        <v/>
      </c>
      <c r="H150" s="5">
        <f>COUNTIF('2_Token'!$D$11:$AK$11,$A150)</f>
        <v/>
      </c>
      <c r="I150" s="5">
        <f>COUNTIF('2_Token'!$D$12:$AK$12,$A150)</f>
        <v/>
      </c>
      <c r="J150" s="5">
        <f>COUNTIF('2_Token'!$D$13:$AK$13,$A150)</f>
        <v/>
      </c>
      <c r="K150" s="5">
        <f>COUNTIF('2_Token'!$D$14:$AK$14,$A150)</f>
        <v/>
      </c>
      <c r="L150" s="5">
        <f>COUNTIF('2_Token'!$D$15:$AK$15,$A150)</f>
        <v/>
      </c>
      <c r="M150" s="5">
        <f>COUNTIF('2_Token'!$D$16:$AK$16,$A150)</f>
        <v/>
      </c>
      <c r="N150" s="5">
        <f>SUM(B150:M150)</f>
        <v/>
      </c>
    </row>
    <row r="151">
      <c r="A151" s="6" t="inlineStr">
        <is>
          <t>puthul</t>
        </is>
      </c>
      <c r="B151" s="5">
        <f>COUNTIF('2_Token'!$D$5:$AK$5,$A151)</f>
        <v/>
      </c>
      <c r="C151" s="5">
        <f>COUNTIF('2_Token'!$D$6:$AK$6,$A151)</f>
        <v/>
      </c>
      <c r="D151" s="5">
        <f>COUNTIF('2_Token'!$D$7:$AK$7,$A151)</f>
        <v/>
      </c>
      <c r="E151" s="5">
        <f>COUNTIF('2_Token'!$D$8:$AK$8,$A151)</f>
        <v/>
      </c>
      <c r="F151" s="5">
        <f>COUNTIF('2_Token'!$D$9:$AK$9,$A151)</f>
        <v/>
      </c>
      <c r="G151" s="5">
        <f>COUNTIF('2_Token'!$D$10:$AK$10,$A151)</f>
        <v/>
      </c>
      <c r="H151" s="5">
        <f>COUNTIF('2_Token'!$D$11:$AK$11,$A151)</f>
        <v/>
      </c>
      <c r="I151" s="5">
        <f>COUNTIF('2_Token'!$D$12:$AK$12,$A151)</f>
        <v/>
      </c>
      <c r="J151" s="5">
        <f>COUNTIF('2_Token'!$D$13:$AK$13,$A151)</f>
        <v/>
      </c>
      <c r="K151" s="5">
        <f>COUNTIF('2_Token'!$D$14:$AK$14,$A151)</f>
        <v/>
      </c>
      <c r="L151" s="5">
        <f>COUNTIF('2_Token'!$D$15:$AK$15,$A151)</f>
        <v/>
      </c>
      <c r="M151" s="5">
        <f>COUNTIF('2_Token'!$D$16:$AK$16,$A151)</f>
        <v/>
      </c>
      <c r="N151" s="5">
        <f>SUM(B151:M151)</f>
        <v/>
      </c>
    </row>
    <row r="152">
      <c r="A152" s="6" t="inlineStr">
        <is>
          <t>ramah</t>
        </is>
      </c>
      <c r="B152" s="5">
        <f>COUNTIF('2_Token'!$D$5:$AK$5,$A152)</f>
        <v/>
      </c>
      <c r="C152" s="5">
        <f>COUNTIF('2_Token'!$D$6:$AK$6,$A152)</f>
        <v/>
      </c>
      <c r="D152" s="5">
        <f>COUNTIF('2_Token'!$D$7:$AK$7,$A152)</f>
        <v/>
      </c>
      <c r="E152" s="5">
        <f>COUNTIF('2_Token'!$D$8:$AK$8,$A152)</f>
        <v/>
      </c>
      <c r="F152" s="5">
        <f>COUNTIF('2_Token'!$D$9:$AK$9,$A152)</f>
        <v/>
      </c>
      <c r="G152" s="5">
        <f>COUNTIF('2_Token'!$D$10:$AK$10,$A152)</f>
        <v/>
      </c>
      <c r="H152" s="5">
        <f>COUNTIF('2_Token'!$D$11:$AK$11,$A152)</f>
        <v/>
      </c>
      <c r="I152" s="5">
        <f>COUNTIF('2_Token'!$D$12:$AK$12,$A152)</f>
        <v/>
      </c>
      <c r="J152" s="5">
        <f>COUNTIF('2_Token'!$D$13:$AK$13,$A152)</f>
        <v/>
      </c>
      <c r="K152" s="5">
        <f>COUNTIF('2_Token'!$D$14:$AK$14,$A152)</f>
        <v/>
      </c>
      <c r="L152" s="5">
        <f>COUNTIF('2_Token'!$D$15:$AK$15,$A152)</f>
        <v/>
      </c>
      <c r="M152" s="5">
        <f>COUNTIF('2_Token'!$D$16:$AK$16,$A152)</f>
        <v/>
      </c>
      <c r="N152" s="5">
        <f>SUM(B152:M152)</f>
        <v/>
      </c>
    </row>
    <row r="153">
      <c r="A153" s="6" t="inlineStr">
        <is>
          <t>rangkap</t>
        </is>
      </c>
      <c r="B153" s="5">
        <f>COUNTIF('2_Token'!$D$5:$AK$5,$A153)</f>
        <v/>
      </c>
      <c r="C153" s="5">
        <f>COUNTIF('2_Token'!$D$6:$AK$6,$A153)</f>
        <v/>
      </c>
      <c r="D153" s="5">
        <f>COUNTIF('2_Token'!$D$7:$AK$7,$A153)</f>
        <v/>
      </c>
      <c r="E153" s="5">
        <f>COUNTIF('2_Token'!$D$8:$AK$8,$A153)</f>
        <v/>
      </c>
      <c r="F153" s="5">
        <f>COUNTIF('2_Token'!$D$9:$AK$9,$A153)</f>
        <v/>
      </c>
      <c r="G153" s="5">
        <f>COUNTIF('2_Token'!$D$10:$AK$10,$A153)</f>
        <v/>
      </c>
      <c r="H153" s="5">
        <f>COUNTIF('2_Token'!$D$11:$AK$11,$A153)</f>
        <v/>
      </c>
      <c r="I153" s="5">
        <f>COUNTIF('2_Token'!$D$12:$AK$12,$A153)</f>
        <v/>
      </c>
      <c r="J153" s="5">
        <f>COUNTIF('2_Token'!$D$13:$AK$13,$A153)</f>
        <v/>
      </c>
      <c r="K153" s="5">
        <f>COUNTIF('2_Token'!$D$14:$AK$14,$A153)</f>
        <v/>
      </c>
      <c r="L153" s="5">
        <f>COUNTIF('2_Token'!$D$15:$AK$15,$A153)</f>
        <v/>
      </c>
      <c r="M153" s="5">
        <f>COUNTIF('2_Token'!$D$16:$AK$16,$A153)</f>
        <v/>
      </c>
      <c r="N153" s="5">
        <f>SUM(B153:M153)</f>
        <v/>
      </c>
    </row>
    <row r="154">
      <c r="A154" s="6" t="inlineStr">
        <is>
          <t>rasa</t>
        </is>
      </c>
      <c r="B154" s="5">
        <f>COUNTIF('2_Token'!$D$5:$AK$5,$A154)</f>
        <v/>
      </c>
      <c r="C154" s="5">
        <f>COUNTIF('2_Token'!$D$6:$AK$6,$A154)</f>
        <v/>
      </c>
      <c r="D154" s="5">
        <f>COUNTIF('2_Token'!$D$7:$AK$7,$A154)</f>
        <v/>
      </c>
      <c r="E154" s="5">
        <f>COUNTIF('2_Token'!$D$8:$AK$8,$A154)</f>
        <v/>
      </c>
      <c r="F154" s="5">
        <f>COUNTIF('2_Token'!$D$9:$AK$9,$A154)</f>
        <v/>
      </c>
      <c r="G154" s="5">
        <f>COUNTIF('2_Token'!$D$10:$AK$10,$A154)</f>
        <v/>
      </c>
      <c r="H154" s="5">
        <f>COUNTIF('2_Token'!$D$11:$AK$11,$A154)</f>
        <v/>
      </c>
      <c r="I154" s="5">
        <f>COUNTIF('2_Token'!$D$12:$AK$12,$A154)</f>
        <v/>
      </c>
      <c r="J154" s="5">
        <f>COUNTIF('2_Token'!$D$13:$AK$13,$A154)</f>
        <v/>
      </c>
      <c r="K154" s="5">
        <f>COUNTIF('2_Token'!$D$14:$AK$14,$A154)</f>
        <v/>
      </c>
      <c r="L154" s="5">
        <f>COUNTIF('2_Token'!$D$15:$AK$15,$A154)</f>
        <v/>
      </c>
      <c r="M154" s="5">
        <f>COUNTIF('2_Token'!$D$16:$AK$16,$A154)</f>
        <v/>
      </c>
      <c r="N154" s="5">
        <f>SUM(B154:M154)</f>
        <v/>
      </c>
    </row>
    <row r="155">
      <c r="A155" s="6" t="inlineStr">
        <is>
          <t>raya</t>
        </is>
      </c>
      <c r="B155" s="5">
        <f>COUNTIF('2_Token'!$D$5:$AK$5,$A155)</f>
        <v/>
      </c>
      <c r="C155" s="5">
        <f>COUNTIF('2_Token'!$D$6:$AK$6,$A155)</f>
        <v/>
      </c>
      <c r="D155" s="5">
        <f>COUNTIF('2_Token'!$D$7:$AK$7,$A155)</f>
        <v/>
      </c>
      <c r="E155" s="5">
        <f>COUNTIF('2_Token'!$D$8:$AK$8,$A155)</f>
        <v/>
      </c>
      <c r="F155" s="5">
        <f>COUNTIF('2_Token'!$D$9:$AK$9,$A155)</f>
        <v/>
      </c>
      <c r="G155" s="5">
        <f>COUNTIF('2_Token'!$D$10:$AK$10,$A155)</f>
        <v/>
      </c>
      <c r="H155" s="5">
        <f>COUNTIF('2_Token'!$D$11:$AK$11,$A155)</f>
        <v/>
      </c>
      <c r="I155" s="5">
        <f>COUNTIF('2_Token'!$D$12:$AK$12,$A155)</f>
        <v/>
      </c>
      <c r="J155" s="5">
        <f>COUNTIF('2_Token'!$D$13:$AK$13,$A155)</f>
        <v/>
      </c>
      <c r="K155" s="5">
        <f>COUNTIF('2_Token'!$D$14:$AK$14,$A155)</f>
        <v/>
      </c>
      <c r="L155" s="5">
        <f>COUNTIF('2_Token'!$D$15:$AK$15,$A155)</f>
        <v/>
      </c>
      <c r="M155" s="5">
        <f>COUNTIF('2_Token'!$D$16:$AK$16,$A155)</f>
        <v/>
      </c>
      <c r="N155" s="5">
        <f>SUM(B155:M155)</f>
        <v/>
      </c>
    </row>
    <row r="156">
      <c r="A156" s="6" t="inlineStr">
        <is>
          <t>rayyan</t>
        </is>
      </c>
      <c r="B156" s="5">
        <f>COUNTIF('2_Token'!$D$5:$AK$5,$A156)</f>
        <v/>
      </c>
      <c r="C156" s="5">
        <f>COUNTIF('2_Token'!$D$6:$AK$6,$A156)</f>
        <v/>
      </c>
      <c r="D156" s="5">
        <f>COUNTIF('2_Token'!$D$7:$AK$7,$A156)</f>
        <v/>
      </c>
      <c r="E156" s="5">
        <f>COUNTIF('2_Token'!$D$8:$AK$8,$A156)</f>
        <v/>
      </c>
      <c r="F156" s="5">
        <f>COUNTIF('2_Token'!$D$9:$AK$9,$A156)</f>
        <v/>
      </c>
      <c r="G156" s="5">
        <f>COUNTIF('2_Token'!$D$10:$AK$10,$A156)</f>
        <v/>
      </c>
      <c r="H156" s="5">
        <f>COUNTIF('2_Token'!$D$11:$AK$11,$A156)</f>
        <v/>
      </c>
      <c r="I156" s="5">
        <f>COUNTIF('2_Token'!$D$12:$AK$12,$A156)</f>
        <v/>
      </c>
      <c r="J156" s="5">
        <f>COUNTIF('2_Token'!$D$13:$AK$13,$A156)</f>
        <v/>
      </c>
      <c r="K156" s="5">
        <f>COUNTIF('2_Token'!$D$14:$AK$14,$A156)</f>
        <v/>
      </c>
      <c r="L156" s="5">
        <f>COUNTIF('2_Token'!$D$15:$AK$15,$A156)</f>
        <v/>
      </c>
      <c r="M156" s="5">
        <f>COUNTIF('2_Token'!$D$16:$AK$16,$A156)</f>
        <v/>
      </c>
      <c r="N156" s="5">
        <f>SUM(B156:M156)</f>
        <v/>
      </c>
    </row>
    <row r="157">
      <c r="A157" s="6" t="inlineStr">
        <is>
          <t>rebo</t>
        </is>
      </c>
      <c r="B157" s="5">
        <f>COUNTIF('2_Token'!$D$5:$AK$5,$A157)</f>
        <v/>
      </c>
      <c r="C157" s="5">
        <f>COUNTIF('2_Token'!$D$6:$AK$6,$A157)</f>
        <v/>
      </c>
      <c r="D157" s="5">
        <f>COUNTIF('2_Token'!$D$7:$AK$7,$A157)</f>
        <v/>
      </c>
      <c r="E157" s="5">
        <f>COUNTIF('2_Token'!$D$8:$AK$8,$A157)</f>
        <v/>
      </c>
      <c r="F157" s="5">
        <f>COUNTIF('2_Token'!$D$9:$AK$9,$A157)</f>
        <v/>
      </c>
      <c r="G157" s="5">
        <f>COUNTIF('2_Token'!$D$10:$AK$10,$A157)</f>
        <v/>
      </c>
      <c r="H157" s="5">
        <f>COUNTIF('2_Token'!$D$11:$AK$11,$A157)</f>
        <v/>
      </c>
      <c r="I157" s="5">
        <f>COUNTIF('2_Token'!$D$12:$AK$12,$A157)</f>
        <v/>
      </c>
      <c r="J157" s="5">
        <f>COUNTIF('2_Token'!$D$13:$AK$13,$A157)</f>
        <v/>
      </c>
      <c r="K157" s="5">
        <f>COUNTIF('2_Token'!$D$14:$AK$14,$A157)</f>
        <v/>
      </c>
      <c r="L157" s="5">
        <f>COUNTIF('2_Token'!$D$15:$AK$15,$A157)</f>
        <v/>
      </c>
      <c r="M157" s="5">
        <f>COUNTIF('2_Token'!$D$16:$AK$16,$A157)</f>
        <v/>
      </c>
      <c r="N157" s="5">
        <f>SUM(B157:M157)</f>
        <v/>
      </c>
    </row>
    <row r="158">
      <c r="A158" s="6" t="inlineStr">
        <is>
          <t>rekreasi</t>
        </is>
      </c>
      <c r="B158" s="5">
        <f>COUNTIF('2_Token'!$D$5:$AK$5,$A158)</f>
        <v/>
      </c>
      <c r="C158" s="5">
        <f>COUNTIF('2_Token'!$D$6:$AK$6,$A158)</f>
        <v/>
      </c>
      <c r="D158" s="5">
        <f>COUNTIF('2_Token'!$D$7:$AK$7,$A158)</f>
        <v/>
      </c>
      <c r="E158" s="5">
        <f>COUNTIF('2_Token'!$D$8:$AK$8,$A158)</f>
        <v/>
      </c>
      <c r="F158" s="5">
        <f>COUNTIF('2_Token'!$D$9:$AK$9,$A158)</f>
        <v/>
      </c>
      <c r="G158" s="5">
        <f>COUNTIF('2_Token'!$D$10:$AK$10,$A158)</f>
        <v/>
      </c>
      <c r="H158" s="5">
        <f>COUNTIF('2_Token'!$D$11:$AK$11,$A158)</f>
        <v/>
      </c>
      <c r="I158" s="5">
        <f>COUNTIF('2_Token'!$D$12:$AK$12,$A158)</f>
        <v/>
      </c>
      <c r="J158" s="5">
        <f>COUNTIF('2_Token'!$D$13:$AK$13,$A158)</f>
        <v/>
      </c>
      <c r="K158" s="5">
        <f>COUNTIF('2_Token'!$D$14:$AK$14,$A158)</f>
        <v/>
      </c>
      <c r="L158" s="5">
        <f>COUNTIF('2_Token'!$D$15:$AK$15,$A158)</f>
        <v/>
      </c>
      <c r="M158" s="5">
        <f>COUNTIF('2_Token'!$D$16:$AK$16,$A158)</f>
        <v/>
      </c>
      <c r="N158" s="5">
        <f>SUM(B158:M158)</f>
        <v/>
      </c>
    </row>
    <row r="159">
      <c r="A159" s="6" t="inlineStr">
        <is>
          <t>rendah</t>
        </is>
      </c>
      <c r="B159" s="5">
        <f>COUNTIF('2_Token'!$D$5:$AK$5,$A159)</f>
        <v/>
      </c>
      <c r="C159" s="5">
        <f>COUNTIF('2_Token'!$D$6:$AK$6,$A159)</f>
        <v/>
      </c>
      <c r="D159" s="5">
        <f>COUNTIF('2_Token'!$D$7:$AK$7,$A159)</f>
        <v/>
      </c>
      <c r="E159" s="5">
        <f>COUNTIF('2_Token'!$D$8:$AK$8,$A159)</f>
        <v/>
      </c>
      <c r="F159" s="5">
        <f>COUNTIF('2_Token'!$D$9:$AK$9,$A159)</f>
        <v/>
      </c>
      <c r="G159" s="5">
        <f>COUNTIF('2_Token'!$D$10:$AK$10,$A159)</f>
        <v/>
      </c>
      <c r="H159" s="5">
        <f>COUNTIF('2_Token'!$D$11:$AK$11,$A159)</f>
        <v/>
      </c>
      <c r="I159" s="5">
        <f>COUNTIF('2_Token'!$D$12:$AK$12,$A159)</f>
        <v/>
      </c>
      <c r="J159" s="5">
        <f>COUNTIF('2_Token'!$D$13:$AK$13,$A159)</f>
        <v/>
      </c>
      <c r="K159" s="5">
        <f>COUNTIF('2_Token'!$D$14:$AK$14,$A159)</f>
        <v/>
      </c>
      <c r="L159" s="5">
        <f>COUNTIF('2_Token'!$D$15:$AK$15,$A159)</f>
        <v/>
      </c>
      <c r="M159" s="5">
        <f>COUNTIF('2_Token'!$D$16:$AK$16,$A159)</f>
        <v/>
      </c>
      <c r="N159" s="5">
        <f>SUM(B159:M159)</f>
        <v/>
      </c>
    </row>
    <row r="160">
      <c r="A160" s="6" t="inlineStr">
        <is>
          <t>ribu</t>
        </is>
      </c>
      <c r="B160" s="5">
        <f>COUNTIF('2_Token'!$D$5:$AK$5,$A160)</f>
        <v/>
      </c>
      <c r="C160" s="5">
        <f>COUNTIF('2_Token'!$D$6:$AK$6,$A160)</f>
        <v/>
      </c>
      <c r="D160" s="5">
        <f>COUNTIF('2_Token'!$D$7:$AK$7,$A160)</f>
        <v/>
      </c>
      <c r="E160" s="5">
        <f>COUNTIF('2_Token'!$D$8:$AK$8,$A160)</f>
        <v/>
      </c>
      <c r="F160" s="5">
        <f>COUNTIF('2_Token'!$D$9:$AK$9,$A160)</f>
        <v/>
      </c>
      <c r="G160" s="5">
        <f>COUNTIF('2_Token'!$D$10:$AK$10,$A160)</f>
        <v/>
      </c>
      <c r="H160" s="5">
        <f>COUNTIF('2_Token'!$D$11:$AK$11,$A160)</f>
        <v/>
      </c>
      <c r="I160" s="5">
        <f>COUNTIF('2_Token'!$D$12:$AK$12,$A160)</f>
        <v/>
      </c>
      <c r="J160" s="5">
        <f>COUNTIF('2_Token'!$D$13:$AK$13,$A160)</f>
        <v/>
      </c>
      <c r="K160" s="5">
        <f>COUNTIF('2_Token'!$D$14:$AK$14,$A160)</f>
        <v/>
      </c>
      <c r="L160" s="5">
        <f>COUNTIF('2_Token'!$D$15:$AK$15,$A160)</f>
        <v/>
      </c>
      <c r="M160" s="5">
        <f>COUNTIF('2_Token'!$D$16:$AK$16,$A160)</f>
        <v/>
      </c>
      <c r="N160" s="5">
        <f>SUM(B160:M160)</f>
        <v/>
      </c>
    </row>
    <row r="161">
      <c r="A161" s="6" t="inlineStr">
        <is>
          <t>ridi</t>
        </is>
      </c>
      <c r="B161" s="5">
        <f>COUNTIF('2_Token'!$D$5:$AK$5,$A161)</f>
        <v/>
      </c>
      <c r="C161" s="5">
        <f>COUNTIF('2_Token'!$D$6:$AK$6,$A161)</f>
        <v/>
      </c>
      <c r="D161" s="5">
        <f>COUNTIF('2_Token'!$D$7:$AK$7,$A161)</f>
        <v/>
      </c>
      <c r="E161" s="5">
        <f>COUNTIF('2_Token'!$D$8:$AK$8,$A161)</f>
        <v/>
      </c>
      <c r="F161" s="5">
        <f>COUNTIF('2_Token'!$D$9:$AK$9,$A161)</f>
        <v/>
      </c>
      <c r="G161" s="5">
        <f>COUNTIF('2_Token'!$D$10:$AK$10,$A161)</f>
        <v/>
      </c>
      <c r="H161" s="5">
        <f>COUNTIF('2_Token'!$D$11:$AK$11,$A161)</f>
        <v/>
      </c>
      <c r="I161" s="5">
        <f>COUNTIF('2_Token'!$D$12:$AK$12,$A161)</f>
        <v/>
      </c>
      <c r="J161" s="5">
        <f>COUNTIF('2_Token'!$D$13:$AK$13,$A161)</f>
        <v/>
      </c>
      <c r="K161" s="5">
        <f>COUNTIF('2_Token'!$D$14:$AK$14,$A161)</f>
        <v/>
      </c>
      <c r="L161" s="5">
        <f>COUNTIF('2_Token'!$D$15:$AK$15,$A161)</f>
        <v/>
      </c>
      <c r="M161" s="5">
        <f>COUNTIF('2_Token'!$D$16:$AK$16,$A161)</f>
        <v/>
      </c>
      <c r="N161" s="5">
        <f>SUM(B161:M161)</f>
        <v/>
      </c>
    </row>
    <row r="162">
      <c r="A162" s="6" t="inlineStr">
        <is>
          <t>ryan</t>
        </is>
      </c>
      <c r="B162" s="5">
        <f>COUNTIF('2_Token'!$D$5:$AK$5,$A162)</f>
        <v/>
      </c>
      <c r="C162" s="5">
        <f>COUNTIF('2_Token'!$D$6:$AK$6,$A162)</f>
        <v/>
      </c>
      <c r="D162" s="5">
        <f>COUNTIF('2_Token'!$D$7:$AK$7,$A162)</f>
        <v/>
      </c>
      <c r="E162" s="5">
        <f>COUNTIF('2_Token'!$D$8:$AK$8,$A162)</f>
        <v/>
      </c>
      <c r="F162" s="5">
        <f>COUNTIF('2_Token'!$D$9:$AK$9,$A162)</f>
        <v/>
      </c>
      <c r="G162" s="5">
        <f>COUNTIF('2_Token'!$D$10:$AK$10,$A162)</f>
        <v/>
      </c>
      <c r="H162" s="5">
        <f>COUNTIF('2_Token'!$D$11:$AK$11,$A162)</f>
        <v/>
      </c>
      <c r="I162" s="5">
        <f>COUNTIF('2_Token'!$D$12:$AK$12,$A162)</f>
        <v/>
      </c>
      <c r="J162" s="5">
        <f>COUNTIF('2_Token'!$D$13:$AK$13,$A162)</f>
        <v/>
      </c>
      <c r="K162" s="5">
        <f>COUNTIF('2_Token'!$D$14:$AK$14,$A162)</f>
        <v/>
      </c>
      <c r="L162" s="5">
        <f>COUNTIF('2_Token'!$D$15:$AK$15,$A162)</f>
        <v/>
      </c>
      <c r="M162" s="5">
        <f>COUNTIF('2_Token'!$D$16:$AK$16,$A162)</f>
        <v/>
      </c>
      <c r="N162" s="5">
        <f>SUM(B162:M162)</f>
        <v/>
      </c>
    </row>
    <row r="163">
      <c r="A163" s="6" t="inlineStr">
        <is>
          <t>sadewa</t>
        </is>
      </c>
      <c r="B163" s="5">
        <f>COUNTIF('2_Token'!$D$5:$AK$5,$A163)</f>
        <v/>
      </c>
      <c r="C163" s="5">
        <f>COUNTIF('2_Token'!$D$6:$AK$6,$A163)</f>
        <v/>
      </c>
      <c r="D163" s="5">
        <f>COUNTIF('2_Token'!$D$7:$AK$7,$A163)</f>
        <v/>
      </c>
      <c r="E163" s="5">
        <f>COUNTIF('2_Token'!$D$8:$AK$8,$A163)</f>
        <v/>
      </c>
      <c r="F163" s="5">
        <f>COUNTIF('2_Token'!$D$9:$AK$9,$A163)</f>
        <v/>
      </c>
      <c r="G163" s="5">
        <f>COUNTIF('2_Token'!$D$10:$AK$10,$A163)</f>
        <v/>
      </c>
      <c r="H163" s="5">
        <f>COUNTIF('2_Token'!$D$11:$AK$11,$A163)</f>
        <v/>
      </c>
      <c r="I163" s="5">
        <f>COUNTIF('2_Token'!$D$12:$AK$12,$A163)</f>
        <v/>
      </c>
      <c r="J163" s="5">
        <f>COUNTIF('2_Token'!$D$13:$AK$13,$A163)</f>
        <v/>
      </c>
      <c r="K163" s="5">
        <f>COUNTIF('2_Token'!$D$14:$AK$14,$A163)</f>
        <v/>
      </c>
      <c r="L163" s="5">
        <f>COUNTIF('2_Token'!$D$15:$AK$15,$A163)</f>
        <v/>
      </c>
      <c r="M163" s="5">
        <f>COUNTIF('2_Token'!$D$16:$AK$16,$A163)</f>
        <v/>
      </c>
      <c r="N163" s="5">
        <f>SUM(B163:M163)</f>
        <v/>
      </c>
    </row>
    <row r="164">
      <c r="A164" s="6" t="inlineStr">
        <is>
          <t>saing</t>
        </is>
      </c>
      <c r="B164" s="5">
        <f>COUNTIF('2_Token'!$D$5:$AK$5,$A164)</f>
        <v/>
      </c>
      <c r="C164" s="5">
        <f>COUNTIF('2_Token'!$D$6:$AK$6,$A164)</f>
        <v/>
      </c>
      <c r="D164" s="5">
        <f>COUNTIF('2_Token'!$D$7:$AK$7,$A164)</f>
        <v/>
      </c>
      <c r="E164" s="5">
        <f>COUNTIF('2_Token'!$D$8:$AK$8,$A164)</f>
        <v/>
      </c>
      <c r="F164" s="5">
        <f>COUNTIF('2_Token'!$D$9:$AK$9,$A164)</f>
        <v/>
      </c>
      <c r="G164" s="5">
        <f>COUNTIF('2_Token'!$D$10:$AK$10,$A164)</f>
        <v/>
      </c>
      <c r="H164" s="5">
        <f>COUNTIF('2_Token'!$D$11:$AK$11,$A164)</f>
        <v/>
      </c>
      <c r="I164" s="5">
        <f>COUNTIF('2_Token'!$D$12:$AK$12,$A164)</f>
        <v/>
      </c>
      <c r="J164" s="5">
        <f>COUNTIF('2_Token'!$D$13:$AK$13,$A164)</f>
        <v/>
      </c>
      <c r="K164" s="5">
        <f>COUNTIF('2_Token'!$D$14:$AK$14,$A164)</f>
        <v/>
      </c>
      <c r="L164" s="5">
        <f>COUNTIF('2_Token'!$D$15:$AK$15,$A164)</f>
        <v/>
      </c>
      <c r="M164" s="5">
        <f>COUNTIF('2_Token'!$D$16:$AK$16,$A164)</f>
        <v/>
      </c>
      <c r="N164" s="5">
        <f>SUM(B164:M164)</f>
        <v/>
      </c>
    </row>
    <row r="165">
      <c r="A165" s="6" t="inlineStr">
        <is>
          <t>salah</t>
        </is>
      </c>
      <c r="B165" s="5">
        <f>COUNTIF('2_Token'!$D$5:$AK$5,$A165)</f>
        <v/>
      </c>
      <c r="C165" s="5">
        <f>COUNTIF('2_Token'!$D$6:$AK$6,$A165)</f>
        <v/>
      </c>
      <c r="D165" s="5">
        <f>COUNTIF('2_Token'!$D$7:$AK$7,$A165)</f>
        <v/>
      </c>
      <c r="E165" s="5">
        <f>COUNTIF('2_Token'!$D$8:$AK$8,$A165)</f>
        <v/>
      </c>
      <c r="F165" s="5">
        <f>COUNTIF('2_Token'!$D$9:$AK$9,$A165)</f>
        <v/>
      </c>
      <c r="G165" s="5">
        <f>COUNTIF('2_Token'!$D$10:$AK$10,$A165)</f>
        <v/>
      </c>
      <c r="H165" s="5">
        <f>COUNTIF('2_Token'!$D$11:$AK$11,$A165)</f>
        <v/>
      </c>
      <c r="I165" s="5">
        <f>COUNTIF('2_Token'!$D$12:$AK$12,$A165)</f>
        <v/>
      </c>
      <c r="J165" s="5">
        <f>COUNTIF('2_Token'!$D$13:$AK$13,$A165)</f>
        <v/>
      </c>
      <c r="K165" s="5">
        <f>COUNTIF('2_Token'!$D$14:$AK$14,$A165)</f>
        <v/>
      </c>
      <c r="L165" s="5">
        <f>COUNTIF('2_Token'!$D$15:$AK$15,$A165)</f>
        <v/>
      </c>
      <c r="M165" s="5">
        <f>COUNTIF('2_Token'!$D$16:$AK$16,$A165)</f>
        <v/>
      </c>
      <c r="N165" s="5">
        <f>SUM(B165:M165)</f>
        <v/>
      </c>
    </row>
    <row r="166">
      <c r="A166" s="6" t="inlineStr">
        <is>
          <t>sandera</t>
        </is>
      </c>
      <c r="B166" s="5">
        <f>COUNTIF('2_Token'!$D$5:$AK$5,$A166)</f>
        <v/>
      </c>
      <c r="C166" s="5">
        <f>COUNTIF('2_Token'!$D$6:$AK$6,$A166)</f>
        <v/>
      </c>
      <c r="D166" s="5">
        <f>COUNTIF('2_Token'!$D$7:$AK$7,$A166)</f>
        <v/>
      </c>
      <c r="E166" s="5">
        <f>COUNTIF('2_Token'!$D$8:$AK$8,$A166)</f>
        <v/>
      </c>
      <c r="F166" s="5">
        <f>COUNTIF('2_Token'!$D$9:$AK$9,$A166)</f>
        <v/>
      </c>
      <c r="G166" s="5">
        <f>COUNTIF('2_Token'!$D$10:$AK$10,$A166)</f>
        <v/>
      </c>
      <c r="H166" s="5">
        <f>COUNTIF('2_Token'!$D$11:$AK$11,$A166)</f>
        <v/>
      </c>
      <c r="I166" s="5">
        <f>COUNTIF('2_Token'!$D$12:$AK$12,$A166)</f>
        <v/>
      </c>
      <c r="J166" s="5">
        <f>COUNTIF('2_Token'!$D$13:$AK$13,$A166)</f>
        <v/>
      </c>
      <c r="K166" s="5">
        <f>COUNTIF('2_Token'!$D$14:$AK$14,$A166)</f>
        <v/>
      </c>
      <c r="L166" s="5">
        <f>COUNTIF('2_Token'!$D$15:$AK$15,$A166)</f>
        <v/>
      </c>
      <c r="M166" s="5">
        <f>COUNTIF('2_Token'!$D$16:$AK$16,$A166)</f>
        <v/>
      </c>
      <c r="N166" s="5">
        <f>SUM(B166:M166)</f>
        <v/>
      </c>
    </row>
    <row r="167">
      <c r="A167" s="6" t="inlineStr">
        <is>
          <t>sapa</t>
        </is>
      </c>
      <c r="B167" s="5">
        <f>COUNTIF('2_Token'!$D$5:$AK$5,$A167)</f>
        <v/>
      </c>
      <c r="C167" s="5">
        <f>COUNTIF('2_Token'!$D$6:$AK$6,$A167)</f>
        <v/>
      </c>
      <c r="D167" s="5">
        <f>COUNTIF('2_Token'!$D$7:$AK$7,$A167)</f>
        <v/>
      </c>
      <c r="E167" s="5">
        <f>COUNTIF('2_Token'!$D$8:$AK$8,$A167)</f>
        <v/>
      </c>
      <c r="F167" s="5">
        <f>COUNTIF('2_Token'!$D$9:$AK$9,$A167)</f>
        <v/>
      </c>
      <c r="G167" s="5">
        <f>COUNTIF('2_Token'!$D$10:$AK$10,$A167)</f>
        <v/>
      </c>
      <c r="H167" s="5">
        <f>COUNTIF('2_Token'!$D$11:$AK$11,$A167)</f>
        <v/>
      </c>
      <c r="I167" s="5">
        <f>COUNTIF('2_Token'!$D$12:$AK$12,$A167)</f>
        <v/>
      </c>
      <c r="J167" s="5">
        <f>COUNTIF('2_Token'!$D$13:$AK$13,$A167)</f>
        <v/>
      </c>
      <c r="K167" s="5">
        <f>COUNTIF('2_Token'!$D$14:$AK$14,$A167)</f>
        <v/>
      </c>
      <c r="L167" s="5">
        <f>COUNTIF('2_Token'!$D$15:$AK$15,$A167)</f>
        <v/>
      </c>
      <c r="M167" s="5">
        <f>COUNTIF('2_Token'!$D$16:$AK$16,$A167)</f>
        <v/>
      </c>
      <c r="N167" s="5">
        <f>SUM(B167:M167)</f>
        <v/>
      </c>
    </row>
    <row r="168">
      <c r="A168" s="6" t="inlineStr">
        <is>
          <t>saputra</t>
        </is>
      </c>
      <c r="B168" s="5">
        <f>COUNTIF('2_Token'!$D$5:$AK$5,$A168)</f>
        <v/>
      </c>
      <c r="C168" s="5">
        <f>COUNTIF('2_Token'!$D$6:$AK$6,$A168)</f>
        <v/>
      </c>
      <c r="D168" s="5">
        <f>COUNTIF('2_Token'!$D$7:$AK$7,$A168)</f>
        <v/>
      </c>
      <c r="E168" s="5">
        <f>COUNTIF('2_Token'!$D$8:$AK$8,$A168)</f>
        <v/>
      </c>
      <c r="F168" s="5">
        <f>COUNTIF('2_Token'!$D$9:$AK$9,$A168)</f>
        <v/>
      </c>
      <c r="G168" s="5">
        <f>COUNTIF('2_Token'!$D$10:$AK$10,$A168)</f>
        <v/>
      </c>
      <c r="H168" s="5">
        <f>COUNTIF('2_Token'!$D$11:$AK$11,$A168)</f>
        <v/>
      </c>
      <c r="I168" s="5">
        <f>COUNTIF('2_Token'!$D$12:$AK$12,$A168)</f>
        <v/>
      </c>
      <c r="J168" s="5">
        <f>COUNTIF('2_Token'!$D$13:$AK$13,$A168)</f>
        <v/>
      </c>
      <c r="K168" s="5">
        <f>COUNTIF('2_Token'!$D$14:$AK$14,$A168)</f>
        <v/>
      </c>
      <c r="L168" s="5">
        <f>COUNTIF('2_Token'!$D$15:$AK$15,$A168)</f>
        <v/>
      </c>
      <c r="M168" s="5">
        <f>COUNTIF('2_Token'!$D$16:$AK$16,$A168)</f>
        <v/>
      </c>
      <c r="N168" s="5">
        <f>SUM(B168:M168)</f>
        <v/>
      </c>
    </row>
    <row r="169">
      <c r="A169" s="6" t="inlineStr">
        <is>
          <t>sarana</t>
        </is>
      </c>
      <c r="B169" s="5">
        <f>COUNTIF('2_Token'!$D$5:$AK$5,$A169)</f>
        <v/>
      </c>
      <c r="C169" s="5">
        <f>COUNTIF('2_Token'!$D$6:$AK$6,$A169)</f>
        <v/>
      </c>
      <c r="D169" s="5">
        <f>COUNTIF('2_Token'!$D$7:$AK$7,$A169)</f>
        <v/>
      </c>
      <c r="E169" s="5">
        <f>COUNTIF('2_Token'!$D$8:$AK$8,$A169)</f>
        <v/>
      </c>
      <c r="F169" s="5">
        <f>COUNTIF('2_Token'!$D$9:$AK$9,$A169)</f>
        <v/>
      </c>
      <c r="G169" s="5">
        <f>COUNTIF('2_Token'!$D$10:$AK$10,$A169)</f>
        <v/>
      </c>
      <c r="H169" s="5">
        <f>COUNTIF('2_Token'!$D$11:$AK$11,$A169)</f>
        <v/>
      </c>
      <c r="I169" s="5">
        <f>COUNTIF('2_Token'!$D$12:$AK$12,$A169)</f>
        <v/>
      </c>
      <c r="J169" s="5">
        <f>COUNTIF('2_Token'!$D$13:$AK$13,$A169)</f>
        <v/>
      </c>
      <c r="K169" s="5">
        <f>COUNTIF('2_Token'!$D$14:$AK$14,$A169)</f>
        <v/>
      </c>
      <c r="L169" s="5">
        <f>COUNTIF('2_Token'!$D$15:$AK$15,$A169)</f>
        <v/>
      </c>
      <c r="M169" s="5">
        <f>COUNTIF('2_Token'!$D$16:$AK$16,$A169)</f>
        <v/>
      </c>
      <c r="N169" s="5">
        <f>SUM(B169:M169)</f>
        <v/>
      </c>
    </row>
    <row r="170">
      <c r="A170" s="6" t="inlineStr">
        <is>
          <t>satu</t>
        </is>
      </c>
      <c r="B170" s="5">
        <f>COUNTIF('2_Token'!$D$5:$AK$5,$A170)</f>
        <v/>
      </c>
      <c r="C170" s="5">
        <f>COUNTIF('2_Token'!$D$6:$AK$6,$A170)</f>
        <v/>
      </c>
      <c r="D170" s="5">
        <f>COUNTIF('2_Token'!$D$7:$AK$7,$A170)</f>
        <v/>
      </c>
      <c r="E170" s="5">
        <f>COUNTIF('2_Token'!$D$8:$AK$8,$A170)</f>
        <v/>
      </c>
      <c r="F170" s="5">
        <f>COUNTIF('2_Token'!$D$9:$AK$9,$A170)</f>
        <v/>
      </c>
      <c r="G170" s="5">
        <f>COUNTIF('2_Token'!$D$10:$AK$10,$A170)</f>
        <v/>
      </c>
      <c r="H170" s="5">
        <f>COUNTIF('2_Token'!$D$11:$AK$11,$A170)</f>
        <v/>
      </c>
      <c r="I170" s="5">
        <f>COUNTIF('2_Token'!$D$12:$AK$12,$A170)</f>
        <v/>
      </c>
      <c r="J170" s="5">
        <f>COUNTIF('2_Token'!$D$13:$AK$13,$A170)</f>
        <v/>
      </c>
      <c r="K170" s="5">
        <f>COUNTIF('2_Token'!$D$14:$AK$14,$A170)</f>
        <v/>
      </c>
      <c r="L170" s="5">
        <f>COUNTIF('2_Token'!$D$15:$AK$15,$A170)</f>
        <v/>
      </c>
      <c r="M170" s="5">
        <f>COUNTIF('2_Token'!$D$16:$AK$16,$A170)</f>
        <v/>
      </c>
      <c r="N170" s="5">
        <f>SUM(B170:M170)</f>
        <v/>
      </c>
    </row>
    <row r="171">
      <c r="A171" s="6" t="inlineStr">
        <is>
          <t>sejumlah</t>
        </is>
      </c>
      <c r="B171" s="5">
        <f>COUNTIF('2_Token'!$D$5:$AK$5,$A171)</f>
        <v/>
      </c>
      <c r="C171" s="5">
        <f>COUNTIF('2_Token'!$D$6:$AK$6,$A171)</f>
        <v/>
      </c>
      <c r="D171" s="5">
        <f>COUNTIF('2_Token'!$D$7:$AK$7,$A171)</f>
        <v/>
      </c>
      <c r="E171" s="5">
        <f>COUNTIF('2_Token'!$D$8:$AK$8,$A171)</f>
        <v/>
      </c>
      <c r="F171" s="5">
        <f>COUNTIF('2_Token'!$D$9:$AK$9,$A171)</f>
        <v/>
      </c>
      <c r="G171" s="5">
        <f>COUNTIF('2_Token'!$D$10:$AK$10,$A171)</f>
        <v/>
      </c>
      <c r="H171" s="5">
        <f>COUNTIF('2_Token'!$D$11:$AK$11,$A171)</f>
        <v/>
      </c>
      <c r="I171" s="5">
        <f>COUNTIF('2_Token'!$D$12:$AK$12,$A171)</f>
        <v/>
      </c>
      <c r="J171" s="5">
        <f>COUNTIF('2_Token'!$D$13:$AK$13,$A171)</f>
        <v/>
      </c>
      <c r="K171" s="5">
        <f>COUNTIF('2_Token'!$D$14:$AK$14,$A171)</f>
        <v/>
      </c>
      <c r="L171" s="5">
        <f>COUNTIF('2_Token'!$D$15:$AK$15,$A171)</f>
        <v/>
      </c>
      <c r="M171" s="5">
        <f>COUNTIF('2_Token'!$D$16:$AK$16,$A171)</f>
        <v/>
      </c>
      <c r="N171" s="5">
        <f>SUM(B171:M171)</f>
        <v/>
      </c>
    </row>
    <row r="172">
      <c r="A172" s="6" t="inlineStr">
        <is>
          <t>sekaligus</t>
        </is>
      </c>
      <c r="B172" s="5">
        <f>COUNTIF('2_Token'!$D$5:$AK$5,$A172)</f>
        <v/>
      </c>
      <c r="C172" s="5">
        <f>COUNTIF('2_Token'!$D$6:$AK$6,$A172)</f>
        <v/>
      </c>
      <c r="D172" s="5">
        <f>COUNTIF('2_Token'!$D$7:$AK$7,$A172)</f>
        <v/>
      </c>
      <c r="E172" s="5">
        <f>COUNTIF('2_Token'!$D$8:$AK$8,$A172)</f>
        <v/>
      </c>
      <c r="F172" s="5">
        <f>COUNTIF('2_Token'!$D$9:$AK$9,$A172)</f>
        <v/>
      </c>
      <c r="G172" s="5">
        <f>COUNTIF('2_Token'!$D$10:$AK$10,$A172)</f>
        <v/>
      </c>
      <c r="H172" s="5">
        <f>COUNTIF('2_Token'!$D$11:$AK$11,$A172)</f>
        <v/>
      </c>
      <c r="I172" s="5">
        <f>COUNTIF('2_Token'!$D$12:$AK$12,$A172)</f>
        <v/>
      </c>
      <c r="J172" s="5">
        <f>COUNTIF('2_Token'!$D$13:$AK$13,$A172)</f>
        <v/>
      </c>
      <c r="K172" s="5">
        <f>COUNTIF('2_Token'!$D$14:$AK$14,$A172)</f>
        <v/>
      </c>
      <c r="L172" s="5">
        <f>COUNTIF('2_Token'!$D$15:$AK$15,$A172)</f>
        <v/>
      </c>
      <c r="M172" s="5">
        <f>COUNTIF('2_Token'!$D$16:$AK$16,$A172)</f>
        <v/>
      </c>
      <c r="N172" s="5">
        <f>SUM(B172:M172)</f>
        <v/>
      </c>
    </row>
    <row r="173">
      <c r="A173" s="6" t="inlineStr">
        <is>
          <t>sekarang</t>
        </is>
      </c>
      <c r="B173" s="5">
        <f>COUNTIF('2_Token'!$D$5:$AK$5,$A173)</f>
        <v/>
      </c>
      <c r="C173" s="5">
        <f>COUNTIF('2_Token'!$D$6:$AK$6,$A173)</f>
        <v/>
      </c>
      <c r="D173" s="5">
        <f>COUNTIF('2_Token'!$D$7:$AK$7,$A173)</f>
        <v/>
      </c>
      <c r="E173" s="5">
        <f>COUNTIF('2_Token'!$D$8:$AK$8,$A173)</f>
        <v/>
      </c>
      <c r="F173" s="5">
        <f>COUNTIF('2_Token'!$D$9:$AK$9,$A173)</f>
        <v/>
      </c>
      <c r="G173" s="5">
        <f>COUNTIF('2_Token'!$D$10:$AK$10,$A173)</f>
        <v/>
      </c>
      <c r="H173" s="5">
        <f>COUNTIF('2_Token'!$D$11:$AK$11,$A173)</f>
        <v/>
      </c>
      <c r="I173" s="5">
        <f>COUNTIF('2_Token'!$D$12:$AK$12,$A173)</f>
        <v/>
      </c>
      <c r="J173" s="5">
        <f>COUNTIF('2_Token'!$D$13:$AK$13,$A173)</f>
        <v/>
      </c>
      <c r="K173" s="5">
        <f>COUNTIF('2_Token'!$D$14:$AK$14,$A173)</f>
        <v/>
      </c>
      <c r="L173" s="5">
        <f>COUNTIF('2_Token'!$D$15:$AK$15,$A173)</f>
        <v/>
      </c>
      <c r="M173" s="5">
        <f>COUNTIF('2_Token'!$D$16:$AK$16,$A173)</f>
        <v/>
      </c>
      <c r="N173" s="5">
        <f>SUM(B173:M173)</f>
        <v/>
      </c>
    </row>
    <row r="174">
      <c r="A174" s="6" t="inlineStr">
        <is>
          <t>selam</t>
        </is>
      </c>
      <c r="B174" s="5">
        <f>COUNTIF('2_Token'!$D$5:$AK$5,$A174)</f>
        <v/>
      </c>
      <c r="C174" s="5">
        <f>COUNTIF('2_Token'!$D$6:$AK$6,$A174)</f>
        <v/>
      </c>
      <c r="D174" s="5">
        <f>COUNTIF('2_Token'!$D$7:$AK$7,$A174)</f>
        <v/>
      </c>
      <c r="E174" s="5">
        <f>COUNTIF('2_Token'!$D$8:$AK$8,$A174)</f>
        <v/>
      </c>
      <c r="F174" s="5">
        <f>COUNTIF('2_Token'!$D$9:$AK$9,$A174)</f>
        <v/>
      </c>
      <c r="G174" s="5">
        <f>COUNTIF('2_Token'!$D$10:$AK$10,$A174)</f>
        <v/>
      </c>
      <c r="H174" s="5">
        <f>COUNTIF('2_Token'!$D$11:$AK$11,$A174)</f>
        <v/>
      </c>
      <c r="I174" s="5">
        <f>COUNTIF('2_Token'!$D$12:$AK$12,$A174)</f>
        <v/>
      </c>
      <c r="J174" s="5">
        <f>COUNTIF('2_Token'!$D$13:$AK$13,$A174)</f>
        <v/>
      </c>
      <c r="K174" s="5">
        <f>COUNTIF('2_Token'!$D$14:$AK$14,$A174)</f>
        <v/>
      </c>
      <c r="L174" s="5">
        <f>COUNTIF('2_Token'!$D$15:$AK$15,$A174)</f>
        <v/>
      </c>
      <c r="M174" s="5">
        <f>COUNTIF('2_Token'!$D$16:$AK$16,$A174)</f>
        <v/>
      </c>
      <c r="N174" s="5">
        <f>SUM(B174:M174)</f>
        <v/>
      </c>
    </row>
    <row r="175">
      <c r="A175" s="6" t="inlineStr">
        <is>
          <t>selatan</t>
        </is>
      </c>
      <c r="B175" s="5">
        <f>COUNTIF('2_Token'!$D$5:$AK$5,$A175)</f>
        <v/>
      </c>
      <c r="C175" s="5">
        <f>COUNTIF('2_Token'!$D$6:$AK$6,$A175)</f>
        <v/>
      </c>
      <c r="D175" s="5">
        <f>COUNTIF('2_Token'!$D$7:$AK$7,$A175)</f>
        <v/>
      </c>
      <c r="E175" s="5">
        <f>COUNTIF('2_Token'!$D$8:$AK$8,$A175)</f>
        <v/>
      </c>
      <c r="F175" s="5">
        <f>COUNTIF('2_Token'!$D$9:$AK$9,$A175)</f>
        <v/>
      </c>
      <c r="G175" s="5">
        <f>COUNTIF('2_Token'!$D$10:$AK$10,$A175)</f>
        <v/>
      </c>
      <c r="H175" s="5">
        <f>COUNTIF('2_Token'!$D$11:$AK$11,$A175)</f>
        <v/>
      </c>
      <c r="I175" s="5">
        <f>COUNTIF('2_Token'!$D$12:$AK$12,$A175)</f>
        <v/>
      </c>
      <c r="J175" s="5">
        <f>COUNTIF('2_Token'!$D$13:$AK$13,$A175)</f>
        <v/>
      </c>
      <c r="K175" s="5">
        <f>COUNTIF('2_Token'!$D$14:$AK$14,$A175)</f>
        <v/>
      </c>
      <c r="L175" s="5">
        <f>COUNTIF('2_Token'!$D$15:$AK$15,$A175)</f>
        <v/>
      </c>
      <c r="M175" s="5">
        <f>COUNTIF('2_Token'!$D$16:$AK$16,$A175)</f>
        <v/>
      </c>
      <c r="N175" s="5">
        <f>SUM(B175:M175)</f>
        <v/>
      </c>
    </row>
    <row r="176">
      <c r="A176" s="6" t="inlineStr">
        <is>
          <t>senin</t>
        </is>
      </c>
      <c r="B176" s="5">
        <f>COUNTIF('2_Token'!$D$5:$AK$5,$A176)</f>
        <v/>
      </c>
      <c r="C176" s="5">
        <f>COUNTIF('2_Token'!$D$6:$AK$6,$A176)</f>
        <v/>
      </c>
      <c r="D176" s="5">
        <f>COUNTIF('2_Token'!$D$7:$AK$7,$A176)</f>
        <v/>
      </c>
      <c r="E176" s="5">
        <f>COUNTIF('2_Token'!$D$8:$AK$8,$A176)</f>
        <v/>
      </c>
      <c r="F176" s="5">
        <f>COUNTIF('2_Token'!$D$9:$AK$9,$A176)</f>
        <v/>
      </c>
      <c r="G176" s="5">
        <f>COUNTIF('2_Token'!$D$10:$AK$10,$A176)</f>
        <v/>
      </c>
      <c r="H176" s="5">
        <f>COUNTIF('2_Token'!$D$11:$AK$11,$A176)</f>
        <v/>
      </c>
      <c r="I176" s="5">
        <f>COUNTIF('2_Token'!$D$12:$AK$12,$A176)</f>
        <v/>
      </c>
      <c r="J176" s="5">
        <f>COUNTIF('2_Token'!$D$13:$AK$13,$A176)</f>
        <v/>
      </c>
      <c r="K176" s="5">
        <f>COUNTIF('2_Token'!$D$14:$AK$14,$A176)</f>
        <v/>
      </c>
      <c r="L176" s="5">
        <f>COUNTIF('2_Token'!$D$15:$AK$15,$A176)</f>
        <v/>
      </c>
      <c r="M176" s="5">
        <f>COUNTIF('2_Token'!$D$16:$AK$16,$A176)</f>
        <v/>
      </c>
      <c r="N176" s="5">
        <f>SUM(B176:M176)</f>
        <v/>
      </c>
    </row>
    <row r="177">
      <c r="A177" s="6" t="inlineStr">
        <is>
          <t>senjata</t>
        </is>
      </c>
      <c r="B177" s="5">
        <f>COUNTIF('2_Token'!$D$5:$AK$5,$A177)</f>
        <v/>
      </c>
      <c r="C177" s="5">
        <f>COUNTIF('2_Token'!$D$6:$AK$6,$A177)</f>
        <v/>
      </c>
      <c r="D177" s="5">
        <f>COUNTIF('2_Token'!$D$7:$AK$7,$A177)</f>
        <v/>
      </c>
      <c r="E177" s="5">
        <f>COUNTIF('2_Token'!$D$8:$AK$8,$A177)</f>
        <v/>
      </c>
      <c r="F177" s="5">
        <f>COUNTIF('2_Token'!$D$9:$AK$9,$A177)</f>
        <v/>
      </c>
      <c r="G177" s="5">
        <f>COUNTIF('2_Token'!$D$10:$AK$10,$A177)</f>
        <v/>
      </c>
      <c r="H177" s="5">
        <f>COUNTIF('2_Token'!$D$11:$AK$11,$A177)</f>
        <v/>
      </c>
      <c r="I177" s="5">
        <f>COUNTIF('2_Token'!$D$12:$AK$12,$A177)</f>
        <v/>
      </c>
      <c r="J177" s="5">
        <f>COUNTIF('2_Token'!$D$13:$AK$13,$A177)</f>
        <v/>
      </c>
      <c r="K177" s="5">
        <f>COUNTIF('2_Token'!$D$14:$AK$14,$A177)</f>
        <v/>
      </c>
      <c r="L177" s="5">
        <f>COUNTIF('2_Token'!$D$15:$AK$15,$A177)</f>
        <v/>
      </c>
      <c r="M177" s="5">
        <f>COUNTIF('2_Token'!$D$16:$AK$16,$A177)</f>
        <v/>
      </c>
      <c r="N177" s="5">
        <f>SUM(B177:M177)</f>
        <v/>
      </c>
    </row>
    <row r="178">
      <c r="A178" s="6" t="inlineStr">
        <is>
          <t>september</t>
        </is>
      </c>
      <c r="B178" s="5">
        <f>COUNTIF('2_Token'!$D$5:$AK$5,$A178)</f>
        <v/>
      </c>
      <c r="C178" s="5">
        <f>COUNTIF('2_Token'!$D$6:$AK$6,$A178)</f>
        <v/>
      </c>
      <c r="D178" s="5">
        <f>COUNTIF('2_Token'!$D$7:$AK$7,$A178)</f>
        <v/>
      </c>
      <c r="E178" s="5">
        <f>COUNTIF('2_Token'!$D$8:$AK$8,$A178)</f>
        <v/>
      </c>
      <c r="F178" s="5">
        <f>COUNTIF('2_Token'!$D$9:$AK$9,$A178)</f>
        <v/>
      </c>
      <c r="G178" s="5">
        <f>COUNTIF('2_Token'!$D$10:$AK$10,$A178)</f>
        <v/>
      </c>
      <c r="H178" s="5">
        <f>COUNTIF('2_Token'!$D$11:$AK$11,$A178)</f>
        <v/>
      </c>
      <c r="I178" s="5">
        <f>COUNTIF('2_Token'!$D$12:$AK$12,$A178)</f>
        <v/>
      </c>
      <c r="J178" s="5">
        <f>COUNTIF('2_Token'!$D$13:$AK$13,$A178)</f>
        <v/>
      </c>
      <c r="K178" s="5">
        <f>COUNTIF('2_Token'!$D$14:$AK$14,$A178)</f>
        <v/>
      </c>
      <c r="L178" s="5">
        <f>COUNTIF('2_Token'!$D$15:$AK$15,$A178)</f>
        <v/>
      </c>
      <c r="M178" s="5">
        <f>COUNTIF('2_Token'!$D$16:$AK$16,$A178)</f>
        <v/>
      </c>
      <c r="N178" s="5">
        <f>SUM(B178:M178)</f>
        <v/>
      </c>
    </row>
    <row r="179">
      <c r="A179" s="6" t="inlineStr">
        <is>
          <t>serangga</t>
        </is>
      </c>
      <c r="B179" s="5">
        <f>COUNTIF('2_Token'!$D$5:$AK$5,$A179)</f>
        <v/>
      </c>
      <c r="C179" s="5">
        <f>COUNTIF('2_Token'!$D$6:$AK$6,$A179)</f>
        <v/>
      </c>
      <c r="D179" s="5">
        <f>COUNTIF('2_Token'!$D$7:$AK$7,$A179)</f>
        <v/>
      </c>
      <c r="E179" s="5">
        <f>COUNTIF('2_Token'!$D$8:$AK$8,$A179)</f>
        <v/>
      </c>
      <c r="F179" s="5">
        <f>COUNTIF('2_Token'!$D$9:$AK$9,$A179)</f>
        <v/>
      </c>
      <c r="G179" s="5">
        <f>COUNTIF('2_Token'!$D$10:$AK$10,$A179)</f>
        <v/>
      </c>
      <c r="H179" s="5">
        <f>COUNTIF('2_Token'!$D$11:$AK$11,$A179)</f>
        <v/>
      </c>
      <c r="I179" s="5">
        <f>COUNTIF('2_Token'!$D$12:$AK$12,$A179)</f>
        <v/>
      </c>
      <c r="J179" s="5">
        <f>COUNTIF('2_Token'!$D$13:$AK$13,$A179)</f>
        <v/>
      </c>
      <c r="K179" s="5">
        <f>COUNTIF('2_Token'!$D$14:$AK$14,$A179)</f>
        <v/>
      </c>
      <c r="L179" s="5">
        <f>COUNTIF('2_Token'!$D$15:$AK$15,$A179)</f>
        <v/>
      </c>
      <c r="M179" s="5">
        <f>COUNTIF('2_Token'!$D$16:$AK$16,$A179)</f>
        <v/>
      </c>
      <c r="N179" s="5">
        <f>SUM(B179:M179)</f>
        <v/>
      </c>
    </row>
    <row r="180">
      <c r="A180" s="6" t="inlineStr">
        <is>
          <t>sipp</t>
        </is>
      </c>
      <c r="B180" s="5">
        <f>COUNTIF('2_Token'!$D$5:$AK$5,$A180)</f>
        <v/>
      </c>
      <c r="C180" s="5">
        <f>COUNTIF('2_Token'!$D$6:$AK$6,$A180)</f>
        <v/>
      </c>
      <c r="D180" s="5">
        <f>COUNTIF('2_Token'!$D$7:$AK$7,$A180)</f>
        <v/>
      </c>
      <c r="E180" s="5">
        <f>COUNTIF('2_Token'!$D$8:$AK$8,$A180)</f>
        <v/>
      </c>
      <c r="F180" s="5">
        <f>COUNTIF('2_Token'!$D$9:$AK$9,$A180)</f>
        <v/>
      </c>
      <c r="G180" s="5">
        <f>COUNTIF('2_Token'!$D$10:$AK$10,$A180)</f>
        <v/>
      </c>
      <c r="H180" s="5">
        <f>COUNTIF('2_Token'!$D$11:$AK$11,$A180)</f>
        <v/>
      </c>
      <c r="I180" s="5">
        <f>COUNTIF('2_Token'!$D$12:$AK$12,$A180)</f>
        <v/>
      </c>
      <c r="J180" s="5">
        <f>COUNTIF('2_Token'!$D$13:$AK$13,$A180)</f>
        <v/>
      </c>
      <c r="K180" s="5">
        <f>COUNTIF('2_Token'!$D$14:$AK$14,$A180)</f>
        <v/>
      </c>
      <c r="L180" s="5">
        <f>COUNTIF('2_Token'!$D$15:$AK$15,$A180)</f>
        <v/>
      </c>
      <c r="M180" s="5">
        <f>COUNTIF('2_Token'!$D$16:$AK$16,$A180)</f>
        <v/>
      </c>
      <c r="N180" s="5">
        <f>SUM(B180:M180)</f>
        <v/>
      </c>
    </row>
    <row r="181">
      <c r="A181" s="6" t="inlineStr">
        <is>
          <t>sistem</t>
        </is>
      </c>
      <c r="B181" s="5">
        <f>COUNTIF('2_Token'!$D$5:$AK$5,$A181)</f>
        <v/>
      </c>
      <c r="C181" s="5">
        <f>COUNTIF('2_Token'!$D$6:$AK$6,$A181)</f>
        <v/>
      </c>
      <c r="D181" s="5">
        <f>COUNTIF('2_Token'!$D$7:$AK$7,$A181)</f>
        <v/>
      </c>
      <c r="E181" s="5">
        <f>COUNTIF('2_Token'!$D$8:$AK$8,$A181)</f>
        <v/>
      </c>
      <c r="F181" s="5">
        <f>COUNTIF('2_Token'!$D$9:$AK$9,$A181)</f>
        <v/>
      </c>
      <c r="G181" s="5">
        <f>COUNTIF('2_Token'!$D$10:$AK$10,$A181)</f>
        <v/>
      </c>
      <c r="H181" s="5">
        <f>COUNTIF('2_Token'!$D$11:$AK$11,$A181)</f>
        <v/>
      </c>
      <c r="I181" s="5">
        <f>COUNTIF('2_Token'!$D$12:$AK$12,$A181)</f>
        <v/>
      </c>
      <c r="J181" s="5">
        <f>COUNTIF('2_Token'!$D$13:$AK$13,$A181)</f>
        <v/>
      </c>
      <c r="K181" s="5">
        <f>COUNTIF('2_Token'!$D$14:$AK$14,$A181)</f>
        <v/>
      </c>
      <c r="L181" s="5">
        <f>COUNTIF('2_Token'!$D$15:$AK$15,$A181)</f>
        <v/>
      </c>
      <c r="M181" s="5">
        <f>COUNTIF('2_Token'!$D$16:$AK$16,$A181)</f>
        <v/>
      </c>
      <c r="N181" s="5">
        <f>SUM(B181:M181)</f>
        <v/>
      </c>
    </row>
    <row r="182">
      <c r="A182" s="6" t="inlineStr">
        <is>
          <t>sorot</t>
        </is>
      </c>
      <c r="B182" s="5">
        <f>COUNTIF('2_Token'!$D$5:$AK$5,$A182)</f>
        <v/>
      </c>
      <c r="C182" s="5">
        <f>COUNTIF('2_Token'!$D$6:$AK$6,$A182)</f>
        <v/>
      </c>
      <c r="D182" s="5">
        <f>COUNTIF('2_Token'!$D$7:$AK$7,$A182)</f>
        <v/>
      </c>
      <c r="E182" s="5">
        <f>COUNTIF('2_Token'!$D$8:$AK$8,$A182)</f>
        <v/>
      </c>
      <c r="F182" s="5">
        <f>COUNTIF('2_Token'!$D$9:$AK$9,$A182)</f>
        <v/>
      </c>
      <c r="G182" s="5">
        <f>COUNTIF('2_Token'!$D$10:$AK$10,$A182)</f>
        <v/>
      </c>
      <c r="H182" s="5">
        <f>COUNTIF('2_Token'!$D$11:$AK$11,$A182)</f>
        <v/>
      </c>
      <c r="I182" s="5">
        <f>COUNTIF('2_Token'!$D$12:$AK$12,$A182)</f>
        <v/>
      </c>
      <c r="J182" s="5">
        <f>COUNTIF('2_Token'!$D$13:$AK$13,$A182)</f>
        <v/>
      </c>
      <c r="K182" s="5">
        <f>COUNTIF('2_Token'!$D$14:$AK$14,$A182)</f>
        <v/>
      </c>
      <c r="L182" s="5">
        <f>COUNTIF('2_Token'!$D$15:$AK$15,$A182)</f>
        <v/>
      </c>
      <c r="M182" s="5">
        <f>COUNTIF('2_Token'!$D$16:$AK$16,$A182)</f>
        <v/>
      </c>
      <c r="N182" s="5">
        <f>SUM(B182:M182)</f>
        <v/>
      </c>
    </row>
    <row r="183">
      <c r="A183" s="6" t="inlineStr">
        <is>
          <t>sri</t>
        </is>
      </c>
      <c r="B183" s="5">
        <f>COUNTIF('2_Token'!$D$5:$AK$5,$A183)</f>
        <v/>
      </c>
      <c r="C183" s="5">
        <f>COUNTIF('2_Token'!$D$6:$AK$6,$A183)</f>
        <v/>
      </c>
      <c r="D183" s="5">
        <f>COUNTIF('2_Token'!$D$7:$AK$7,$A183)</f>
        <v/>
      </c>
      <c r="E183" s="5">
        <f>COUNTIF('2_Token'!$D$8:$AK$8,$A183)</f>
        <v/>
      </c>
      <c r="F183" s="5">
        <f>COUNTIF('2_Token'!$D$9:$AK$9,$A183)</f>
        <v/>
      </c>
      <c r="G183" s="5">
        <f>COUNTIF('2_Token'!$D$10:$AK$10,$A183)</f>
        <v/>
      </c>
      <c r="H183" s="5">
        <f>COUNTIF('2_Token'!$D$11:$AK$11,$A183)</f>
        <v/>
      </c>
      <c r="I183" s="5">
        <f>COUNTIF('2_Token'!$D$12:$AK$12,$A183)</f>
        <v/>
      </c>
      <c r="J183" s="5">
        <f>COUNTIF('2_Token'!$D$13:$AK$13,$A183)</f>
        <v/>
      </c>
      <c r="K183" s="5">
        <f>COUNTIF('2_Token'!$D$14:$AK$14,$A183)</f>
        <v/>
      </c>
      <c r="L183" s="5">
        <f>COUNTIF('2_Token'!$D$15:$AK$15,$A183)</f>
        <v/>
      </c>
      <c r="M183" s="5">
        <f>COUNTIF('2_Token'!$D$16:$AK$16,$A183)</f>
        <v/>
      </c>
      <c r="N183" s="5">
        <f>SUM(B183:M183)</f>
        <v/>
      </c>
    </row>
    <row r="184">
      <c r="A184" s="6" t="inlineStr">
        <is>
          <t>strategis</t>
        </is>
      </c>
      <c r="B184" s="5">
        <f>COUNTIF('2_Token'!$D$5:$AK$5,$A184)</f>
        <v/>
      </c>
      <c r="C184" s="5">
        <f>COUNTIF('2_Token'!$D$6:$AK$6,$A184)</f>
        <v/>
      </c>
      <c r="D184" s="5">
        <f>COUNTIF('2_Token'!$D$7:$AK$7,$A184)</f>
        <v/>
      </c>
      <c r="E184" s="5">
        <f>COUNTIF('2_Token'!$D$8:$AK$8,$A184)</f>
        <v/>
      </c>
      <c r="F184" s="5">
        <f>COUNTIF('2_Token'!$D$9:$AK$9,$A184)</f>
        <v/>
      </c>
      <c r="G184" s="5">
        <f>COUNTIF('2_Token'!$D$10:$AK$10,$A184)</f>
        <v/>
      </c>
      <c r="H184" s="5">
        <f>COUNTIF('2_Token'!$D$11:$AK$11,$A184)</f>
        <v/>
      </c>
      <c r="I184" s="5">
        <f>COUNTIF('2_Token'!$D$12:$AK$12,$A184)</f>
        <v/>
      </c>
      <c r="J184" s="5">
        <f>COUNTIF('2_Token'!$D$13:$AK$13,$A184)</f>
        <v/>
      </c>
      <c r="K184" s="5">
        <f>COUNTIF('2_Token'!$D$14:$AK$14,$A184)</f>
        <v/>
      </c>
      <c r="L184" s="5">
        <f>COUNTIF('2_Token'!$D$15:$AK$15,$A184)</f>
        <v/>
      </c>
      <c r="M184" s="5">
        <f>COUNTIF('2_Token'!$D$16:$AK$16,$A184)</f>
        <v/>
      </c>
      <c r="N184" s="5">
        <f>SUM(B184:M184)</f>
        <v/>
      </c>
    </row>
    <row r="185">
      <c r="A185" s="6" t="inlineStr">
        <is>
          <t>subianto</t>
        </is>
      </c>
      <c r="B185" s="5">
        <f>COUNTIF('2_Token'!$D$5:$AK$5,$A185)</f>
        <v/>
      </c>
      <c r="C185" s="5">
        <f>COUNTIF('2_Token'!$D$6:$AK$6,$A185)</f>
        <v/>
      </c>
      <c r="D185" s="5">
        <f>COUNTIF('2_Token'!$D$7:$AK$7,$A185)</f>
        <v/>
      </c>
      <c r="E185" s="5">
        <f>COUNTIF('2_Token'!$D$8:$AK$8,$A185)</f>
        <v/>
      </c>
      <c r="F185" s="5">
        <f>COUNTIF('2_Token'!$D$9:$AK$9,$A185)</f>
        <v/>
      </c>
      <c r="G185" s="5">
        <f>COUNTIF('2_Token'!$D$10:$AK$10,$A185)</f>
        <v/>
      </c>
      <c r="H185" s="5">
        <f>COUNTIF('2_Token'!$D$11:$AK$11,$A185)</f>
        <v/>
      </c>
      <c r="I185" s="5">
        <f>COUNTIF('2_Token'!$D$12:$AK$12,$A185)</f>
        <v/>
      </c>
      <c r="J185" s="5">
        <f>COUNTIF('2_Token'!$D$13:$AK$13,$A185)</f>
        <v/>
      </c>
      <c r="K185" s="5">
        <f>COUNTIF('2_Token'!$D$14:$AK$14,$A185)</f>
        <v/>
      </c>
      <c r="L185" s="5">
        <f>COUNTIF('2_Token'!$D$15:$AK$15,$A185)</f>
        <v/>
      </c>
      <c r="M185" s="5">
        <f>COUNTIF('2_Token'!$D$16:$AK$16,$A185)</f>
        <v/>
      </c>
      <c r="N185" s="5">
        <f>SUM(B185:M185)</f>
        <v/>
      </c>
    </row>
    <row r="186">
      <c r="A186" s="6" t="inlineStr">
        <is>
          <t>sudirman</t>
        </is>
      </c>
      <c r="B186" s="5">
        <f>COUNTIF('2_Token'!$D$5:$AK$5,$A186)</f>
        <v/>
      </c>
      <c r="C186" s="5">
        <f>COUNTIF('2_Token'!$D$6:$AK$6,$A186)</f>
        <v/>
      </c>
      <c r="D186" s="5">
        <f>COUNTIF('2_Token'!$D$7:$AK$7,$A186)</f>
        <v/>
      </c>
      <c r="E186" s="5">
        <f>COUNTIF('2_Token'!$D$8:$AK$8,$A186)</f>
        <v/>
      </c>
      <c r="F186" s="5">
        <f>COUNTIF('2_Token'!$D$9:$AK$9,$A186)</f>
        <v/>
      </c>
      <c r="G186" s="5">
        <f>COUNTIF('2_Token'!$D$10:$AK$10,$A186)</f>
        <v/>
      </c>
      <c r="H186" s="5">
        <f>COUNTIF('2_Token'!$D$11:$AK$11,$A186)</f>
        <v/>
      </c>
      <c r="I186" s="5">
        <f>COUNTIF('2_Token'!$D$12:$AK$12,$A186)</f>
        <v/>
      </c>
      <c r="J186" s="5">
        <f>COUNTIF('2_Token'!$D$13:$AK$13,$A186)</f>
        <v/>
      </c>
      <c r="K186" s="5">
        <f>COUNTIF('2_Token'!$D$14:$AK$14,$A186)</f>
        <v/>
      </c>
      <c r="L186" s="5">
        <f>COUNTIF('2_Token'!$D$15:$AK$15,$A186)</f>
        <v/>
      </c>
      <c r="M186" s="5">
        <f>COUNTIF('2_Token'!$D$16:$AK$16,$A186)</f>
        <v/>
      </c>
      <c r="N186" s="5">
        <f>SUM(B186:M186)</f>
        <v/>
      </c>
    </row>
    <row r="187">
      <c r="A187" s="6" t="inlineStr">
        <is>
          <t>sukamto</t>
        </is>
      </c>
      <c r="B187" s="5">
        <f>COUNTIF('2_Token'!$D$5:$AK$5,$A187)</f>
        <v/>
      </c>
      <c r="C187" s="5">
        <f>COUNTIF('2_Token'!$D$6:$AK$6,$A187)</f>
        <v/>
      </c>
      <c r="D187" s="5">
        <f>COUNTIF('2_Token'!$D$7:$AK$7,$A187)</f>
        <v/>
      </c>
      <c r="E187" s="5">
        <f>COUNTIF('2_Token'!$D$8:$AK$8,$A187)</f>
        <v/>
      </c>
      <c r="F187" s="5">
        <f>COUNTIF('2_Token'!$D$9:$AK$9,$A187)</f>
        <v/>
      </c>
      <c r="G187" s="5">
        <f>COUNTIF('2_Token'!$D$10:$AK$10,$A187)</f>
        <v/>
      </c>
      <c r="H187" s="5">
        <f>COUNTIF('2_Token'!$D$11:$AK$11,$A187)</f>
        <v/>
      </c>
      <c r="I187" s="5">
        <f>COUNTIF('2_Token'!$D$12:$AK$12,$A187)</f>
        <v/>
      </c>
      <c r="J187" s="5">
        <f>COUNTIF('2_Token'!$D$13:$AK$13,$A187)</f>
        <v/>
      </c>
      <c r="K187" s="5">
        <f>COUNTIF('2_Token'!$D$14:$AK$14,$A187)</f>
        <v/>
      </c>
      <c r="L187" s="5">
        <f>COUNTIF('2_Token'!$D$15:$AK$15,$A187)</f>
        <v/>
      </c>
      <c r="M187" s="5">
        <f>COUNTIF('2_Token'!$D$16:$AK$16,$A187)</f>
        <v/>
      </c>
      <c r="N187" s="5">
        <f>SUM(B187:M187)</f>
        <v/>
      </c>
    </row>
    <row r="188">
      <c r="A188" s="6" t="inlineStr">
        <is>
          <t>suku</t>
        </is>
      </c>
      <c r="B188" s="5">
        <f>COUNTIF('2_Token'!$D$5:$AK$5,$A188)</f>
        <v/>
      </c>
      <c r="C188" s="5">
        <f>COUNTIF('2_Token'!$D$6:$AK$6,$A188)</f>
        <v/>
      </c>
      <c r="D188" s="5">
        <f>COUNTIF('2_Token'!$D$7:$AK$7,$A188)</f>
        <v/>
      </c>
      <c r="E188" s="5">
        <f>COUNTIF('2_Token'!$D$8:$AK$8,$A188)</f>
        <v/>
      </c>
      <c r="F188" s="5">
        <f>COUNTIF('2_Token'!$D$9:$AK$9,$A188)</f>
        <v/>
      </c>
      <c r="G188" s="5">
        <f>COUNTIF('2_Token'!$D$10:$AK$10,$A188)</f>
        <v/>
      </c>
      <c r="H188" s="5">
        <f>COUNTIF('2_Token'!$D$11:$AK$11,$A188)</f>
        <v/>
      </c>
      <c r="I188" s="5">
        <f>COUNTIF('2_Token'!$D$12:$AK$12,$A188)</f>
        <v/>
      </c>
      <c r="J188" s="5">
        <f>COUNTIF('2_Token'!$D$13:$AK$13,$A188)</f>
        <v/>
      </c>
      <c r="K188" s="5">
        <f>COUNTIF('2_Token'!$D$14:$AK$14,$A188)</f>
        <v/>
      </c>
      <c r="L188" s="5">
        <f>COUNTIF('2_Token'!$D$15:$AK$15,$A188)</f>
        <v/>
      </c>
      <c r="M188" s="5">
        <f>COUNTIF('2_Token'!$D$16:$AK$16,$A188)</f>
        <v/>
      </c>
      <c r="N188" s="5">
        <f>SUM(B188:M188)</f>
        <v/>
      </c>
    </row>
    <row r="189">
      <c r="A189" s="6" t="inlineStr">
        <is>
          <t>sulawesi</t>
        </is>
      </c>
      <c r="B189" s="5">
        <f>COUNTIF('2_Token'!$D$5:$AK$5,$A189)</f>
        <v/>
      </c>
      <c r="C189" s="5">
        <f>COUNTIF('2_Token'!$D$6:$AK$6,$A189)</f>
        <v/>
      </c>
      <c r="D189" s="5">
        <f>COUNTIF('2_Token'!$D$7:$AK$7,$A189)</f>
        <v/>
      </c>
      <c r="E189" s="5">
        <f>COUNTIF('2_Token'!$D$8:$AK$8,$A189)</f>
        <v/>
      </c>
      <c r="F189" s="5">
        <f>COUNTIF('2_Token'!$D$9:$AK$9,$A189)</f>
        <v/>
      </c>
      <c r="G189" s="5">
        <f>COUNTIF('2_Token'!$D$10:$AK$10,$A189)</f>
        <v/>
      </c>
      <c r="H189" s="5">
        <f>COUNTIF('2_Token'!$D$11:$AK$11,$A189)</f>
        <v/>
      </c>
      <c r="I189" s="5">
        <f>COUNTIF('2_Token'!$D$12:$AK$12,$A189)</f>
        <v/>
      </c>
      <c r="J189" s="5">
        <f>COUNTIF('2_Token'!$D$13:$AK$13,$A189)</f>
        <v/>
      </c>
      <c r="K189" s="5">
        <f>COUNTIF('2_Token'!$D$14:$AK$14,$A189)</f>
        <v/>
      </c>
      <c r="L189" s="5">
        <f>COUNTIF('2_Token'!$D$15:$AK$15,$A189)</f>
        <v/>
      </c>
      <c r="M189" s="5">
        <f>COUNTIF('2_Token'!$D$16:$AK$16,$A189)</f>
        <v/>
      </c>
      <c r="N189" s="5">
        <f>SUM(B189:M189)</f>
        <v/>
      </c>
    </row>
    <row r="190">
      <c r="A190" s="6" t="inlineStr">
        <is>
          <t>sumber</t>
        </is>
      </c>
      <c r="B190" s="5">
        <f>COUNTIF('2_Token'!$D$5:$AK$5,$A190)</f>
        <v/>
      </c>
      <c r="C190" s="5">
        <f>COUNTIF('2_Token'!$D$6:$AK$6,$A190)</f>
        <v/>
      </c>
      <c r="D190" s="5">
        <f>COUNTIF('2_Token'!$D$7:$AK$7,$A190)</f>
        <v/>
      </c>
      <c r="E190" s="5">
        <f>COUNTIF('2_Token'!$D$8:$AK$8,$A190)</f>
        <v/>
      </c>
      <c r="F190" s="5">
        <f>COUNTIF('2_Token'!$D$9:$AK$9,$A190)</f>
        <v/>
      </c>
      <c r="G190" s="5">
        <f>COUNTIF('2_Token'!$D$10:$AK$10,$A190)</f>
        <v/>
      </c>
      <c r="H190" s="5">
        <f>COUNTIF('2_Token'!$D$11:$AK$11,$A190)</f>
        <v/>
      </c>
      <c r="I190" s="5">
        <f>COUNTIF('2_Token'!$D$12:$AK$12,$A190)</f>
        <v/>
      </c>
      <c r="J190" s="5">
        <f>COUNTIF('2_Token'!$D$13:$AK$13,$A190)</f>
        <v/>
      </c>
      <c r="K190" s="5">
        <f>COUNTIF('2_Token'!$D$14:$AK$14,$A190)</f>
        <v/>
      </c>
      <c r="L190" s="5">
        <f>COUNTIF('2_Token'!$D$15:$AK$15,$A190)</f>
        <v/>
      </c>
      <c r="M190" s="5">
        <f>COUNTIF('2_Token'!$D$16:$AK$16,$A190)</f>
        <v/>
      </c>
      <c r="N190" s="5">
        <f>SUM(B190:M190)</f>
        <v/>
      </c>
    </row>
    <row r="191">
      <c r="A191" s="6" t="inlineStr">
        <is>
          <t>suwanti</t>
        </is>
      </c>
      <c r="B191" s="5">
        <f>COUNTIF('2_Token'!$D$5:$AK$5,$A191)</f>
        <v/>
      </c>
      <c r="C191" s="5">
        <f>COUNTIF('2_Token'!$D$6:$AK$6,$A191)</f>
        <v/>
      </c>
      <c r="D191" s="5">
        <f>COUNTIF('2_Token'!$D$7:$AK$7,$A191)</f>
        <v/>
      </c>
      <c r="E191" s="5">
        <f>COUNTIF('2_Token'!$D$8:$AK$8,$A191)</f>
        <v/>
      </c>
      <c r="F191" s="5">
        <f>COUNTIF('2_Token'!$D$9:$AK$9,$A191)</f>
        <v/>
      </c>
      <c r="G191" s="5">
        <f>COUNTIF('2_Token'!$D$10:$AK$10,$A191)</f>
        <v/>
      </c>
      <c r="H191" s="5">
        <f>COUNTIF('2_Token'!$D$11:$AK$11,$A191)</f>
        <v/>
      </c>
      <c r="I191" s="5">
        <f>COUNTIF('2_Token'!$D$12:$AK$12,$A191)</f>
        <v/>
      </c>
      <c r="J191" s="5">
        <f>COUNTIF('2_Token'!$D$13:$AK$13,$A191)</f>
        <v/>
      </c>
      <c r="K191" s="5">
        <f>COUNTIF('2_Token'!$D$14:$AK$14,$A191)</f>
        <v/>
      </c>
      <c r="L191" s="5">
        <f>COUNTIF('2_Token'!$D$15:$AK$15,$A191)</f>
        <v/>
      </c>
      <c r="M191" s="5">
        <f>COUNTIF('2_Token'!$D$16:$AK$16,$A191)</f>
        <v/>
      </c>
      <c r="N191" s="5">
        <f>SUM(B191:M191)</f>
        <v/>
      </c>
    </row>
    <row r="192">
      <c r="A192" s="6" t="inlineStr">
        <is>
          <t>tahan</t>
        </is>
      </c>
      <c r="B192" s="5">
        <f>COUNTIF('2_Token'!$D$5:$AK$5,$A192)</f>
        <v/>
      </c>
      <c r="C192" s="5">
        <f>COUNTIF('2_Token'!$D$6:$AK$6,$A192)</f>
        <v/>
      </c>
      <c r="D192" s="5">
        <f>COUNTIF('2_Token'!$D$7:$AK$7,$A192)</f>
        <v/>
      </c>
      <c r="E192" s="5">
        <f>COUNTIF('2_Token'!$D$8:$AK$8,$A192)</f>
        <v/>
      </c>
      <c r="F192" s="5">
        <f>COUNTIF('2_Token'!$D$9:$AK$9,$A192)</f>
        <v/>
      </c>
      <c r="G192" s="5">
        <f>COUNTIF('2_Token'!$D$10:$AK$10,$A192)</f>
        <v/>
      </c>
      <c r="H192" s="5">
        <f>COUNTIF('2_Token'!$D$11:$AK$11,$A192)</f>
        <v/>
      </c>
      <c r="I192" s="5">
        <f>COUNTIF('2_Token'!$D$12:$AK$12,$A192)</f>
        <v/>
      </c>
      <c r="J192" s="5">
        <f>COUNTIF('2_Token'!$D$13:$AK$13,$A192)</f>
        <v/>
      </c>
      <c r="K192" s="5">
        <f>COUNTIF('2_Token'!$D$14:$AK$14,$A192)</f>
        <v/>
      </c>
      <c r="L192" s="5">
        <f>COUNTIF('2_Token'!$D$15:$AK$15,$A192)</f>
        <v/>
      </c>
      <c r="M192" s="5">
        <f>COUNTIF('2_Token'!$D$16:$AK$16,$A192)</f>
        <v/>
      </c>
      <c r="N192" s="5">
        <f>SUM(B192:M192)</f>
        <v/>
      </c>
    </row>
    <row r="193">
      <c r="A193" s="6" t="inlineStr">
        <is>
          <t>tahun</t>
        </is>
      </c>
      <c r="B193" s="5">
        <f>COUNTIF('2_Token'!$D$5:$AK$5,$A193)</f>
        <v/>
      </c>
      <c r="C193" s="5">
        <f>COUNTIF('2_Token'!$D$6:$AK$6,$A193)</f>
        <v/>
      </c>
      <c r="D193" s="5">
        <f>COUNTIF('2_Token'!$D$7:$AK$7,$A193)</f>
        <v/>
      </c>
      <c r="E193" s="5">
        <f>COUNTIF('2_Token'!$D$8:$AK$8,$A193)</f>
        <v/>
      </c>
      <c r="F193" s="5">
        <f>COUNTIF('2_Token'!$D$9:$AK$9,$A193)</f>
        <v/>
      </c>
      <c r="G193" s="5">
        <f>COUNTIF('2_Token'!$D$10:$AK$10,$A193)</f>
        <v/>
      </c>
      <c r="H193" s="5">
        <f>COUNTIF('2_Token'!$D$11:$AK$11,$A193)</f>
        <v/>
      </c>
      <c r="I193" s="5">
        <f>COUNTIF('2_Token'!$D$12:$AK$12,$A193)</f>
        <v/>
      </c>
      <c r="J193" s="5">
        <f>COUNTIF('2_Token'!$D$13:$AK$13,$A193)</f>
        <v/>
      </c>
      <c r="K193" s="5">
        <f>COUNTIF('2_Token'!$D$14:$AK$14,$A193)</f>
        <v/>
      </c>
      <c r="L193" s="5">
        <f>COUNTIF('2_Token'!$D$15:$AK$15,$A193)</f>
        <v/>
      </c>
      <c r="M193" s="5">
        <f>COUNTIF('2_Token'!$D$16:$AK$16,$A193)</f>
        <v/>
      </c>
      <c r="N193" s="5">
        <f>SUM(B193:M193)</f>
        <v/>
      </c>
    </row>
    <row r="194">
      <c r="A194" s="6" t="inlineStr">
        <is>
          <t>tambah</t>
        </is>
      </c>
      <c r="B194" s="5">
        <f>COUNTIF('2_Token'!$D$5:$AK$5,$A194)</f>
        <v/>
      </c>
      <c r="C194" s="5">
        <f>COUNTIF('2_Token'!$D$6:$AK$6,$A194)</f>
        <v/>
      </c>
      <c r="D194" s="5">
        <f>COUNTIF('2_Token'!$D$7:$AK$7,$A194)</f>
        <v/>
      </c>
      <c r="E194" s="5">
        <f>COUNTIF('2_Token'!$D$8:$AK$8,$A194)</f>
        <v/>
      </c>
      <c r="F194" s="5">
        <f>COUNTIF('2_Token'!$D$9:$AK$9,$A194)</f>
        <v/>
      </c>
      <c r="G194" s="5">
        <f>COUNTIF('2_Token'!$D$10:$AK$10,$A194)</f>
        <v/>
      </c>
      <c r="H194" s="5">
        <f>COUNTIF('2_Token'!$D$11:$AK$11,$A194)</f>
        <v/>
      </c>
      <c r="I194" s="5">
        <f>COUNTIF('2_Token'!$D$12:$AK$12,$A194)</f>
        <v/>
      </c>
      <c r="J194" s="5">
        <f>COUNTIF('2_Token'!$D$13:$AK$13,$A194)</f>
        <v/>
      </c>
      <c r="K194" s="5">
        <f>COUNTIF('2_Token'!$D$14:$AK$14,$A194)</f>
        <v/>
      </c>
      <c r="L194" s="5">
        <f>COUNTIF('2_Token'!$D$15:$AK$15,$A194)</f>
        <v/>
      </c>
      <c r="M194" s="5">
        <f>COUNTIF('2_Token'!$D$16:$AK$16,$A194)</f>
        <v/>
      </c>
      <c r="N194" s="5">
        <f>SUM(B194:M194)</f>
        <v/>
      </c>
    </row>
    <row r="195">
      <c r="A195" s="6" t="inlineStr">
        <is>
          <t>tangan</t>
        </is>
      </c>
      <c r="B195" s="5">
        <f>COUNTIF('2_Token'!$D$5:$AK$5,$A195)</f>
        <v/>
      </c>
      <c r="C195" s="5">
        <f>COUNTIF('2_Token'!$D$6:$AK$6,$A195)</f>
        <v/>
      </c>
      <c r="D195" s="5">
        <f>COUNTIF('2_Token'!$D$7:$AK$7,$A195)</f>
        <v/>
      </c>
      <c r="E195" s="5">
        <f>COUNTIF('2_Token'!$D$8:$AK$8,$A195)</f>
        <v/>
      </c>
      <c r="F195" s="5">
        <f>COUNTIF('2_Token'!$D$9:$AK$9,$A195)</f>
        <v/>
      </c>
      <c r="G195" s="5">
        <f>COUNTIF('2_Token'!$D$10:$AK$10,$A195)</f>
        <v/>
      </c>
      <c r="H195" s="5">
        <f>COUNTIF('2_Token'!$D$11:$AK$11,$A195)</f>
        <v/>
      </c>
      <c r="I195" s="5">
        <f>COUNTIF('2_Token'!$D$12:$AK$12,$A195)</f>
        <v/>
      </c>
      <c r="J195" s="5">
        <f>COUNTIF('2_Token'!$D$13:$AK$13,$A195)</f>
        <v/>
      </c>
      <c r="K195" s="5">
        <f>COUNTIF('2_Token'!$D$14:$AK$14,$A195)</f>
        <v/>
      </c>
      <c r="L195" s="5">
        <f>COUNTIF('2_Token'!$D$15:$AK$15,$A195)</f>
        <v/>
      </c>
      <c r="M195" s="5">
        <f>COUNTIF('2_Token'!$D$16:$AK$16,$A195)</f>
        <v/>
      </c>
      <c r="N195" s="5">
        <f>SUM(B195:M195)</f>
        <v/>
      </c>
    </row>
    <row r="196">
      <c r="A196" s="6" t="inlineStr">
        <is>
          <t>tangkap</t>
        </is>
      </c>
      <c r="B196" s="5">
        <f>COUNTIF('2_Token'!$D$5:$AK$5,$A196)</f>
        <v/>
      </c>
      <c r="C196" s="5">
        <f>COUNTIF('2_Token'!$D$6:$AK$6,$A196)</f>
        <v/>
      </c>
      <c r="D196" s="5">
        <f>COUNTIF('2_Token'!$D$7:$AK$7,$A196)</f>
        <v/>
      </c>
      <c r="E196" s="5">
        <f>COUNTIF('2_Token'!$D$8:$AK$8,$A196)</f>
        <v/>
      </c>
      <c r="F196" s="5">
        <f>COUNTIF('2_Token'!$D$9:$AK$9,$A196)</f>
        <v/>
      </c>
      <c r="G196" s="5">
        <f>COUNTIF('2_Token'!$D$10:$AK$10,$A196)</f>
        <v/>
      </c>
      <c r="H196" s="5">
        <f>COUNTIF('2_Token'!$D$11:$AK$11,$A196)</f>
        <v/>
      </c>
      <c r="I196" s="5">
        <f>COUNTIF('2_Token'!$D$12:$AK$12,$A196)</f>
        <v/>
      </c>
      <c r="J196" s="5">
        <f>COUNTIF('2_Token'!$D$13:$AK$13,$A196)</f>
        <v/>
      </c>
      <c r="K196" s="5">
        <f>COUNTIF('2_Token'!$D$14:$AK$14,$A196)</f>
        <v/>
      </c>
      <c r="L196" s="5">
        <f>COUNTIF('2_Token'!$D$15:$AK$15,$A196)</f>
        <v/>
      </c>
      <c r="M196" s="5">
        <f>COUNTIF('2_Token'!$D$16:$AK$16,$A196)</f>
        <v/>
      </c>
      <c r="N196" s="5">
        <f>SUM(B196:M196)</f>
        <v/>
      </c>
    </row>
    <row r="197">
      <c r="A197" s="6" t="inlineStr">
        <is>
          <t>tempat</t>
        </is>
      </c>
      <c r="B197" s="5">
        <f>COUNTIF('2_Token'!$D$5:$AK$5,$A197)</f>
        <v/>
      </c>
      <c r="C197" s="5">
        <f>COUNTIF('2_Token'!$D$6:$AK$6,$A197)</f>
        <v/>
      </c>
      <c r="D197" s="5">
        <f>COUNTIF('2_Token'!$D$7:$AK$7,$A197)</f>
        <v/>
      </c>
      <c r="E197" s="5">
        <f>COUNTIF('2_Token'!$D$8:$AK$8,$A197)</f>
        <v/>
      </c>
      <c r="F197" s="5">
        <f>COUNTIF('2_Token'!$D$9:$AK$9,$A197)</f>
        <v/>
      </c>
      <c r="G197" s="5">
        <f>COUNTIF('2_Token'!$D$10:$AK$10,$A197)</f>
        <v/>
      </c>
      <c r="H197" s="5">
        <f>COUNTIF('2_Token'!$D$11:$AK$11,$A197)</f>
        <v/>
      </c>
      <c r="I197" s="5">
        <f>COUNTIF('2_Token'!$D$12:$AK$12,$A197)</f>
        <v/>
      </c>
      <c r="J197" s="5">
        <f>COUNTIF('2_Token'!$D$13:$AK$13,$A197)</f>
        <v/>
      </c>
      <c r="K197" s="5">
        <f>COUNTIF('2_Token'!$D$14:$AK$14,$A197)</f>
        <v/>
      </c>
      <c r="L197" s="5">
        <f>COUNTIF('2_Token'!$D$15:$AK$15,$A197)</f>
        <v/>
      </c>
      <c r="M197" s="5">
        <f>COUNTIF('2_Token'!$D$16:$AK$16,$A197)</f>
        <v/>
      </c>
      <c r="N197" s="5">
        <f>SUM(B197:M197)</f>
        <v/>
      </c>
    </row>
    <row r="198">
      <c r="A198" s="6" t="inlineStr">
        <is>
          <t>tempo</t>
        </is>
      </c>
      <c r="B198" s="5">
        <f>COUNTIF('2_Token'!$D$5:$AK$5,$A198)</f>
        <v/>
      </c>
      <c r="C198" s="5">
        <f>COUNTIF('2_Token'!$D$6:$AK$6,$A198)</f>
        <v/>
      </c>
      <c r="D198" s="5">
        <f>COUNTIF('2_Token'!$D$7:$AK$7,$A198)</f>
        <v/>
      </c>
      <c r="E198" s="5">
        <f>COUNTIF('2_Token'!$D$8:$AK$8,$A198)</f>
        <v/>
      </c>
      <c r="F198" s="5">
        <f>COUNTIF('2_Token'!$D$9:$AK$9,$A198)</f>
        <v/>
      </c>
      <c r="G198" s="5">
        <f>COUNTIF('2_Token'!$D$10:$AK$10,$A198)</f>
        <v/>
      </c>
      <c r="H198" s="5">
        <f>COUNTIF('2_Token'!$D$11:$AK$11,$A198)</f>
        <v/>
      </c>
      <c r="I198" s="5">
        <f>COUNTIF('2_Token'!$D$12:$AK$12,$A198)</f>
        <v/>
      </c>
      <c r="J198" s="5">
        <f>COUNTIF('2_Token'!$D$13:$AK$13,$A198)</f>
        <v/>
      </c>
      <c r="K198" s="5">
        <f>COUNTIF('2_Token'!$D$14:$AK$14,$A198)</f>
        <v/>
      </c>
      <c r="L198" s="5">
        <f>COUNTIF('2_Token'!$D$15:$AK$15,$A198)</f>
        <v/>
      </c>
      <c r="M198" s="5">
        <f>COUNTIF('2_Token'!$D$16:$AK$16,$A198)</f>
        <v/>
      </c>
      <c r="N198" s="5">
        <f>SUM(B198:M198)</f>
        <v/>
      </c>
    </row>
    <row r="199">
      <c r="A199" s="6" t="inlineStr">
        <is>
          <t>tengah</t>
        </is>
      </c>
      <c r="B199" s="5">
        <f>COUNTIF('2_Token'!$D$5:$AK$5,$A199)</f>
        <v/>
      </c>
      <c r="C199" s="5">
        <f>COUNTIF('2_Token'!$D$6:$AK$6,$A199)</f>
        <v/>
      </c>
      <c r="D199" s="5">
        <f>COUNTIF('2_Token'!$D$7:$AK$7,$A199)</f>
        <v/>
      </c>
      <c r="E199" s="5">
        <f>COUNTIF('2_Token'!$D$8:$AK$8,$A199)</f>
        <v/>
      </c>
      <c r="F199" s="5">
        <f>COUNTIF('2_Token'!$D$9:$AK$9,$A199)</f>
        <v/>
      </c>
      <c r="G199" s="5">
        <f>COUNTIF('2_Token'!$D$10:$AK$10,$A199)</f>
        <v/>
      </c>
      <c r="H199" s="5">
        <f>COUNTIF('2_Token'!$D$11:$AK$11,$A199)</f>
        <v/>
      </c>
      <c r="I199" s="5">
        <f>COUNTIF('2_Token'!$D$12:$AK$12,$A199)</f>
        <v/>
      </c>
      <c r="J199" s="5">
        <f>COUNTIF('2_Token'!$D$13:$AK$13,$A199)</f>
        <v/>
      </c>
      <c r="K199" s="5">
        <f>COUNTIF('2_Token'!$D$14:$AK$14,$A199)</f>
        <v/>
      </c>
      <c r="L199" s="5">
        <f>COUNTIF('2_Token'!$D$15:$AK$15,$A199)</f>
        <v/>
      </c>
      <c r="M199" s="5">
        <f>COUNTIF('2_Token'!$D$16:$AK$16,$A199)</f>
        <v/>
      </c>
      <c r="N199" s="5">
        <f>SUM(B199:M199)</f>
        <v/>
      </c>
    </row>
    <row r="200">
      <c r="A200" s="6" t="inlineStr">
        <is>
          <t>tenggara</t>
        </is>
      </c>
      <c r="B200" s="5">
        <f>COUNTIF('2_Token'!$D$5:$AK$5,$A200)</f>
        <v/>
      </c>
      <c r="C200" s="5">
        <f>COUNTIF('2_Token'!$D$6:$AK$6,$A200)</f>
        <v/>
      </c>
      <c r="D200" s="5">
        <f>COUNTIF('2_Token'!$D$7:$AK$7,$A200)</f>
        <v/>
      </c>
      <c r="E200" s="5">
        <f>COUNTIF('2_Token'!$D$8:$AK$8,$A200)</f>
        <v/>
      </c>
      <c r="F200" s="5">
        <f>COUNTIF('2_Token'!$D$9:$AK$9,$A200)</f>
        <v/>
      </c>
      <c r="G200" s="5">
        <f>COUNTIF('2_Token'!$D$10:$AK$10,$A200)</f>
        <v/>
      </c>
      <c r="H200" s="5">
        <f>COUNTIF('2_Token'!$D$11:$AK$11,$A200)</f>
        <v/>
      </c>
      <c r="I200" s="5">
        <f>COUNTIF('2_Token'!$D$12:$AK$12,$A200)</f>
        <v/>
      </c>
      <c r="J200" s="5">
        <f>COUNTIF('2_Token'!$D$13:$AK$13,$A200)</f>
        <v/>
      </c>
      <c r="K200" s="5">
        <f>COUNTIF('2_Token'!$D$14:$AK$14,$A200)</f>
        <v/>
      </c>
      <c r="L200" s="5">
        <f>COUNTIF('2_Token'!$D$15:$AK$15,$A200)</f>
        <v/>
      </c>
      <c r="M200" s="5">
        <f>COUNTIF('2_Token'!$D$16:$AK$16,$A200)</f>
        <v/>
      </c>
      <c r="N200" s="5">
        <f>SUM(B200:M200)</f>
        <v/>
      </c>
    </row>
    <row r="201">
      <c r="A201" s="6" t="inlineStr">
        <is>
          <t>tentara</t>
        </is>
      </c>
      <c r="B201" s="5">
        <f>COUNTIF('2_Token'!$D$5:$AK$5,$A201)</f>
        <v/>
      </c>
      <c r="C201" s="5">
        <f>COUNTIF('2_Token'!$D$6:$AK$6,$A201)</f>
        <v/>
      </c>
      <c r="D201" s="5">
        <f>COUNTIF('2_Token'!$D$7:$AK$7,$A201)</f>
        <v/>
      </c>
      <c r="E201" s="5">
        <f>COUNTIF('2_Token'!$D$8:$AK$8,$A201)</f>
        <v/>
      </c>
      <c r="F201" s="5">
        <f>COUNTIF('2_Token'!$D$9:$AK$9,$A201)</f>
        <v/>
      </c>
      <c r="G201" s="5">
        <f>COUNTIF('2_Token'!$D$10:$AK$10,$A201)</f>
        <v/>
      </c>
      <c r="H201" s="5">
        <f>COUNTIF('2_Token'!$D$11:$AK$11,$A201)</f>
        <v/>
      </c>
      <c r="I201" s="5">
        <f>COUNTIF('2_Token'!$D$12:$AK$12,$A201)</f>
        <v/>
      </c>
      <c r="J201" s="5">
        <f>COUNTIF('2_Token'!$D$13:$AK$13,$A201)</f>
        <v/>
      </c>
      <c r="K201" s="5">
        <f>COUNTIF('2_Token'!$D$14:$AK$14,$A201)</f>
        <v/>
      </c>
      <c r="L201" s="5">
        <f>COUNTIF('2_Token'!$D$15:$AK$15,$A201)</f>
        <v/>
      </c>
      <c r="M201" s="5">
        <f>COUNTIF('2_Token'!$D$16:$AK$16,$A201)</f>
        <v/>
      </c>
      <c r="N201" s="5">
        <f>SUM(B201:M201)</f>
        <v/>
      </c>
    </row>
    <row r="202">
      <c r="A202" s="6" t="inlineStr">
        <is>
          <t>terima</t>
        </is>
      </c>
      <c r="B202" s="5">
        <f>COUNTIF('2_Token'!$D$5:$AK$5,$A202)</f>
        <v/>
      </c>
      <c r="C202" s="5">
        <f>COUNTIF('2_Token'!$D$6:$AK$6,$A202)</f>
        <v/>
      </c>
      <c r="D202" s="5">
        <f>COUNTIF('2_Token'!$D$7:$AK$7,$A202)</f>
        <v/>
      </c>
      <c r="E202" s="5">
        <f>COUNTIF('2_Token'!$D$8:$AK$8,$A202)</f>
        <v/>
      </c>
      <c r="F202" s="5">
        <f>COUNTIF('2_Token'!$D$9:$AK$9,$A202)</f>
        <v/>
      </c>
      <c r="G202" s="5">
        <f>COUNTIF('2_Token'!$D$10:$AK$10,$A202)</f>
        <v/>
      </c>
      <c r="H202" s="5">
        <f>COUNTIF('2_Token'!$D$11:$AK$11,$A202)</f>
        <v/>
      </c>
      <c r="I202" s="5">
        <f>COUNTIF('2_Token'!$D$12:$AK$12,$A202)</f>
        <v/>
      </c>
      <c r="J202" s="5">
        <f>COUNTIF('2_Token'!$D$13:$AK$13,$A202)</f>
        <v/>
      </c>
      <c r="K202" s="5">
        <f>COUNTIF('2_Token'!$D$14:$AK$14,$A202)</f>
        <v/>
      </c>
      <c r="L202" s="5">
        <f>COUNTIF('2_Token'!$D$15:$AK$15,$A202)</f>
        <v/>
      </c>
      <c r="M202" s="5">
        <f>COUNTIF('2_Token'!$D$16:$AK$16,$A202)</f>
        <v/>
      </c>
      <c r="N202" s="5">
        <f>SUM(B202:M202)</f>
        <v/>
      </c>
    </row>
    <row r="203">
      <c r="A203" s="6" t="inlineStr">
        <is>
          <t>thohir</t>
        </is>
      </c>
      <c r="B203" s="5">
        <f>COUNTIF('2_Token'!$D$5:$AK$5,$A203)</f>
        <v/>
      </c>
      <c r="C203" s="5">
        <f>COUNTIF('2_Token'!$D$6:$AK$6,$A203)</f>
        <v/>
      </c>
      <c r="D203" s="5">
        <f>COUNTIF('2_Token'!$D$7:$AK$7,$A203)</f>
        <v/>
      </c>
      <c r="E203" s="5">
        <f>COUNTIF('2_Token'!$D$8:$AK$8,$A203)</f>
        <v/>
      </c>
      <c r="F203" s="5">
        <f>COUNTIF('2_Token'!$D$9:$AK$9,$A203)</f>
        <v/>
      </c>
      <c r="G203" s="5">
        <f>COUNTIF('2_Token'!$D$10:$AK$10,$A203)</f>
        <v/>
      </c>
      <c r="H203" s="5">
        <f>COUNTIF('2_Token'!$D$11:$AK$11,$A203)</f>
        <v/>
      </c>
      <c r="I203" s="5">
        <f>COUNTIF('2_Token'!$D$12:$AK$12,$A203)</f>
        <v/>
      </c>
      <c r="J203" s="5">
        <f>COUNTIF('2_Token'!$D$13:$AK$13,$A203)</f>
        <v/>
      </c>
      <c r="K203" s="5">
        <f>COUNTIF('2_Token'!$D$14:$AK$14,$A203)</f>
        <v/>
      </c>
      <c r="L203" s="5">
        <f>COUNTIF('2_Token'!$D$15:$AK$15,$A203)</f>
        <v/>
      </c>
      <c r="M203" s="5">
        <f>COUNTIF('2_Token'!$D$16:$AK$16,$A203)</f>
        <v/>
      </c>
      <c r="N203" s="5">
        <f>SUM(B203:M203)</f>
        <v/>
      </c>
    </row>
    <row r="204">
      <c r="A204" s="6" t="inlineStr">
        <is>
          <t>tiga</t>
        </is>
      </c>
      <c r="B204" s="5">
        <f>COUNTIF('2_Token'!$D$5:$AK$5,$A204)</f>
        <v/>
      </c>
      <c r="C204" s="5">
        <f>COUNTIF('2_Token'!$D$6:$AK$6,$A204)</f>
        <v/>
      </c>
      <c r="D204" s="5">
        <f>COUNTIF('2_Token'!$D$7:$AK$7,$A204)</f>
        <v/>
      </c>
      <c r="E204" s="5">
        <f>COUNTIF('2_Token'!$D$8:$AK$8,$A204)</f>
        <v/>
      </c>
      <c r="F204" s="5">
        <f>COUNTIF('2_Token'!$D$9:$AK$9,$A204)</f>
        <v/>
      </c>
      <c r="G204" s="5">
        <f>COUNTIF('2_Token'!$D$10:$AK$10,$A204)</f>
        <v/>
      </c>
      <c r="H204" s="5">
        <f>COUNTIF('2_Token'!$D$11:$AK$11,$A204)</f>
        <v/>
      </c>
      <c r="I204" s="5">
        <f>COUNTIF('2_Token'!$D$12:$AK$12,$A204)</f>
        <v/>
      </c>
      <c r="J204" s="5">
        <f>COUNTIF('2_Token'!$D$13:$AK$13,$A204)</f>
        <v/>
      </c>
      <c r="K204" s="5">
        <f>COUNTIF('2_Token'!$D$14:$AK$14,$A204)</f>
        <v/>
      </c>
      <c r="L204" s="5">
        <f>COUNTIF('2_Token'!$D$15:$AK$15,$A204)</f>
        <v/>
      </c>
      <c r="M204" s="5">
        <f>COUNTIF('2_Token'!$D$16:$AK$16,$A204)</f>
        <v/>
      </c>
      <c r="N204" s="5">
        <f>SUM(B204:M204)</f>
        <v/>
      </c>
    </row>
    <row r="205">
      <c r="A205" s="6" t="inlineStr">
        <is>
          <t>timur</t>
        </is>
      </c>
      <c r="B205" s="5">
        <f>COUNTIF('2_Token'!$D$5:$AK$5,$A205)</f>
        <v/>
      </c>
      <c r="C205" s="5">
        <f>COUNTIF('2_Token'!$D$6:$AK$6,$A205)</f>
        <v/>
      </c>
      <c r="D205" s="5">
        <f>COUNTIF('2_Token'!$D$7:$AK$7,$A205)</f>
        <v/>
      </c>
      <c r="E205" s="5">
        <f>COUNTIF('2_Token'!$D$8:$AK$8,$A205)</f>
        <v/>
      </c>
      <c r="F205" s="5">
        <f>COUNTIF('2_Token'!$D$9:$AK$9,$A205)</f>
        <v/>
      </c>
      <c r="G205" s="5">
        <f>COUNTIF('2_Token'!$D$10:$AK$10,$A205)</f>
        <v/>
      </c>
      <c r="H205" s="5">
        <f>COUNTIF('2_Token'!$D$11:$AK$11,$A205)</f>
        <v/>
      </c>
      <c r="I205" s="5">
        <f>COUNTIF('2_Token'!$D$12:$AK$12,$A205)</f>
        <v/>
      </c>
      <c r="J205" s="5">
        <f>COUNTIF('2_Token'!$D$13:$AK$13,$A205)</f>
        <v/>
      </c>
      <c r="K205" s="5">
        <f>COUNTIF('2_Token'!$D$14:$AK$14,$A205)</f>
        <v/>
      </c>
      <c r="L205" s="5">
        <f>COUNTIF('2_Token'!$D$15:$AK$15,$A205)</f>
        <v/>
      </c>
      <c r="M205" s="5">
        <f>COUNTIF('2_Token'!$D$16:$AK$16,$A205)</f>
        <v/>
      </c>
      <c r="N205" s="5">
        <f>SUM(B205:M205)</f>
        <v/>
      </c>
    </row>
    <row r="206">
      <c r="A206" s="6" t="inlineStr">
        <is>
          <t>tni</t>
        </is>
      </c>
      <c r="B206" s="5">
        <f>COUNTIF('2_Token'!$D$5:$AK$5,$A206)</f>
        <v/>
      </c>
      <c r="C206" s="5">
        <f>COUNTIF('2_Token'!$D$6:$AK$6,$A206)</f>
        <v/>
      </c>
      <c r="D206" s="5">
        <f>COUNTIF('2_Token'!$D$7:$AK$7,$A206)</f>
        <v/>
      </c>
      <c r="E206" s="5">
        <f>COUNTIF('2_Token'!$D$8:$AK$8,$A206)</f>
        <v/>
      </c>
      <c r="F206" s="5">
        <f>COUNTIF('2_Token'!$D$9:$AK$9,$A206)</f>
        <v/>
      </c>
      <c r="G206" s="5">
        <f>COUNTIF('2_Token'!$D$10:$AK$10,$A206)</f>
        <v/>
      </c>
      <c r="H206" s="5">
        <f>COUNTIF('2_Token'!$D$11:$AK$11,$A206)</f>
        <v/>
      </c>
      <c r="I206" s="5">
        <f>COUNTIF('2_Token'!$D$12:$AK$12,$A206)</f>
        <v/>
      </c>
      <c r="J206" s="5">
        <f>COUNTIF('2_Token'!$D$13:$AK$13,$A206)</f>
        <v/>
      </c>
      <c r="K206" s="5">
        <f>COUNTIF('2_Token'!$D$14:$AK$14,$A206)</f>
        <v/>
      </c>
      <c r="L206" s="5">
        <f>COUNTIF('2_Token'!$D$15:$AK$15,$A206)</f>
        <v/>
      </c>
      <c r="M206" s="5">
        <f>COUNTIF('2_Token'!$D$16:$AK$16,$A206)</f>
        <v/>
      </c>
      <c r="N206" s="5">
        <f>SUM(B206:M206)</f>
        <v/>
      </c>
    </row>
    <row r="207">
      <c r="A207" s="6" t="inlineStr">
        <is>
          <t>triadhi</t>
        </is>
      </c>
      <c r="B207" s="5">
        <f>COUNTIF('2_Token'!$D$5:$AK$5,$A207)</f>
        <v/>
      </c>
      <c r="C207" s="5">
        <f>COUNTIF('2_Token'!$D$6:$AK$6,$A207)</f>
        <v/>
      </c>
      <c r="D207" s="5">
        <f>COUNTIF('2_Token'!$D$7:$AK$7,$A207)</f>
        <v/>
      </c>
      <c r="E207" s="5">
        <f>COUNTIF('2_Token'!$D$8:$AK$8,$A207)</f>
        <v/>
      </c>
      <c r="F207" s="5">
        <f>COUNTIF('2_Token'!$D$9:$AK$9,$A207)</f>
        <v/>
      </c>
      <c r="G207" s="5">
        <f>COUNTIF('2_Token'!$D$10:$AK$10,$A207)</f>
        <v/>
      </c>
      <c r="H207" s="5">
        <f>COUNTIF('2_Token'!$D$11:$AK$11,$A207)</f>
        <v/>
      </c>
      <c r="I207" s="5">
        <f>COUNTIF('2_Token'!$D$12:$AK$12,$A207)</f>
        <v/>
      </c>
      <c r="J207" s="5">
        <f>COUNTIF('2_Token'!$D$13:$AK$13,$A207)</f>
        <v/>
      </c>
      <c r="K207" s="5">
        <f>COUNTIF('2_Token'!$D$14:$AK$14,$A207)</f>
        <v/>
      </c>
      <c r="L207" s="5">
        <f>COUNTIF('2_Token'!$D$15:$AK$15,$A207)</f>
        <v/>
      </c>
      <c r="M207" s="5">
        <f>COUNTIF('2_Token'!$D$16:$AK$16,$A207)</f>
        <v/>
      </c>
      <c r="N207" s="5">
        <f>SUM(B207:M207)</f>
        <v/>
      </c>
    </row>
    <row r="208">
      <c r="A208" s="6" t="inlineStr">
        <is>
          <t>tukar</t>
        </is>
      </c>
      <c r="B208" s="5">
        <f>COUNTIF('2_Token'!$D$5:$AK$5,$A208)</f>
        <v/>
      </c>
      <c r="C208" s="5">
        <f>COUNTIF('2_Token'!$D$6:$AK$6,$A208)</f>
        <v/>
      </c>
      <c r="D208" s="5">
        <f>COUNTIF('2_Token'!$D$7:$AK$7,$A208)</f>
        <v/>
      </c>
      <c r="E208" s="5">
        <f>COUNTIF('2_Token'!$D$8:$AK$8,$A208)</f>
        <v/>
      </c>
      <c r="F208" s="5">
        <f>COUNTIF('2_Token'!$D$9:$AK$9,$A208)</f>
        <v/>
      </c>
      <c r="G208" s="5">
        <f>COUNTIF('2_Token'!$D$10:$AK$10,$A208)</f>
        <v/>
      </c>
      <c r="H208" s="5">
        <f>COUNTIF('2_Token'!$D$11:$AK$11,$A208)</f>
        <v/>
      </c>
      <c r="I208" s="5">
        <f>COUNTIF('2_Token'!$D$12:$AK$12,$A208)</f>
        <v/>
      </c>
      <c r="J208" s="5">
        <f>COUNTIF('2_Token'!$D$13:$AK$13,$A208)</f>
        <v/>
      </c>
      <c r="K208" s="5">
        <f>COUNTIF('2_Token'!$D$14:$AK$14,$A208)</f>
        <v/>
      </c>
      <c r="L208" s="5">
        <f>COUNTIF('2_Token'!$D$15:$AK$15,$A208)</f>
        <v/>
      </c>
      <c r="M208" s="5">
        <f>COUNTIF('2_Token'!$D$16:$AK$16,$A208)</f>
        <v/>
      </c>
      <c r="N208" s="5">
        <f>SUM(B208:M208)</f>
        <v/>
      </c>
    </row>
    <row r="209">
      <c r="A209" s="6" t="inlineStr">
        <is>
          <t>uang</t>
        </is>
      </c>
      <c r="B209" s="5">
        <f>COUNTIF('2_Token'!$D$5:$AK$5,$A209)</f>
        <v/>
      </c>
      <c r="C209" s="5">
        <f>COUNTIF('2_Token'!$D$6:$AK$6,$A209)</f>
        <v/>
      </c>
      <c r="D209" s="5">
        <f>COUNTIF('2_Token'!$D$7:$AK$7,$A209)</f>
        <v/>
      </c>
      <c r="E209" s="5">
        <f>COUNTIF('2_Token'!$D$8:$AK$8,$A209)</f>
        <v/>
      </c>
      <c r="F209" s="5">
        <f>COUNTIF('2_Token'!$D$9:$AK$9,$A209)</f>
        <v/>
      </c>
      <c r="G209" s="5">
        <f>COUNTIF('2_Token'!$D$10:$AK$10,$A209)</f>
        <v/>
      </c>
      <c r="H209" s="5">
        <f>COUNTIF('2_Token'!$D$11:$AK$11,$A209)</f>
        <v/>
      </c>
      <c r="I209" s="5">
        <f>COUNTIF('2_Token'!$D$12:$AK$12,$A209)</f>
        <v/>
      </c>
      <c r="J209" s="5">
        <f>COUNTIF('2_Token'!$D$13:$AK$13,$A209)</f>
        <v/>
      </c>
      <c r="K209" s="5">
        <f>COUNTIF('2_Token'!$D$14:$AK$14,$A209)</f>
        <v/>
      </c>
      <c r="L209" s="5">
        <f>COUNTIF('2_Token'!$D$15:$AK$15,$A209)</f>
        <v/>
      </c>
      <c r="M209" s="5">
        <f>COUNTIF('2_Token'!$D$16:$AK$16,$A209)</f>
        <v/>
      </c>
      <c r="N209" s="5">
        <f>SUM(B209:M209)</f>
        <v/>
      </c>
    </row>
    <row r="210">
      <c r="A210" s="6" t="inlineStr">
        <is>
          <t>udara</t>
        </is>
      </c>
      <c r="B210" s="5">
        <f>COUNTIF('2_Token'!$D$5:$AK$5,$A210)</f>
        <v/>
      </c>
      <c r="C210" s="5">
        <f>COUNTIF('2_Token'!$D$6:$AK$6,$A210)</f>
        <v/>
      </c>
      <c r="D210" s="5">
        <f>COUNTIF('2_Token'!$D$7:$AK$7,$A210)</f>
        <v/>
      </c>
      <c r="E210" s="5">
        <f>COUNTIF('2_Token'!$D$8:$AK$8,$A210)</f>
        <v/>
      </c>
      <c r="F210" s="5">
        <f>COUNTIF('2_Token'!$D$9:$AK$9,$A210)</f>
        <v/>
      </c>
      <c r="G210" s="5">
        <f>COUNTIF('2_Token'!$D$10:$AK$10,$A210)</f>
        <v/>
      </c>
      <c r="H210" s="5">
        <f>COUNTIF('2_Token'!$D$11:$AK$11,$A210)</f>
        <v/>
      </c>
      <c r="I210" s="5">
        <f>COUNTIF('2_Token'!$D$12:$AK$12,$A210)</f>
        <v/>
      </c>
      <c r="J210" s="5">
        <f>COUNTIF('2_Token'!$D$13:$AK$13,$A210)</f>
        <v/>
      </c>
      <c r="K210" s="5">
        <f>COUNTIF('2_Token'!$D$14:$AK$14,$A210)</f>
        <v/>
      </c>
      <c r="L210" s="5">
        <f>COUNTIF('2_Token'!$D$15:$AK$15,$A210)</f>
        <v/>
      </c>
      <c r="M210" s="5">
        <f>COUNTIF('2_Token'!$D$16:$AK$16,$A210)</f>
        <v/>
      </c>
      <c r="N210" s="5">
        <f>SUM(B210:M210)</f>
        <v/>
      </c>
    </row>
    <row r="211">
      <c r="A211" s="6" t="inlineStr">
        <is>
          <t>ulang</t>
        </is>
      </c>
      <c r="B211" s="5">
        <f>COUNTIF('2_Token'!$D$5:$AK$5,$A211)</f>
        <v/>
      </c>
      <c r="C211" s="5">
        <f>COUNTIF('2_Token'!$D$6:$AK$6,$A211)</f>
        <v/>
      </c>
      <c r="D211" s="5">
        <f>COUNTIF('2_Token'!$D$7:$AK$7,$A211)</f>
        <v/>
      </c>
      <c r="E211" s="5">
        <f>COUNTIF('2_Token'!$D$8:$AK$8,$A211)</f>
        <v/>
      </c>
      <c r="F211" s="5">
        <f>COUNTIF('2_Token'!$D$9:$AK$9,$A211)</f>
        <v/>
      </c>
      <c r="G211" s="5">
        <f>COUNTIF('2_Token'!$D$10:$AK$10,$A211)</f>
        <v/>
      </c>
      <c r="H211" s="5">
        <f>COUNTIF('2_Token'!$D$11:$AK$11,$A211)</f>
        <v/>
      </c>
      <c r="I211" s="5">
        <f>COUNTIF('2_Token'!$D$12:$AK$12,$A211)</f>
        <v/>
      </c>
      <c r="J211" s="5">
        <f>COUNTIF('2_Token'!$D$13:$AK$13,$A211)</f>
        <v/>
      </c>
      <c r="K211" s="5">
        <f>COUNTIF('2_Token'!$D$14:$AK$14,$A211)</f>
        <v/>
      </c>
      <c r="L211" s="5">
        <f>COUNTIF('2_Token'!$D$15:$AK$15,$A211)</f>
        <v/>
      </c>
      <c r="M211" s="5">
        <f>COUNTIF('2_Token'!$D$16:$AK$16,$A211)</f>
        <v/>
      </c>
      <c r="N211" s="5">
        <f>SUM(B211:M211)</f>
        <v/>
      </c>
    </row>
    <row r="212">
      <c r="A212" s="6" t="inlineStr">
        <is>
          <t>umum</t>
        </is>
      </c>
      <c r="B212" s="5">
        <f>COUNTIF('2_Token'!$D$5:$AK$5,$A212)</f>
        <v/>
      </c>
      <c r="C212" s="5">
        <f>COUNTIF('2_Token'!$D$6:$AK$6,$A212)</f>
        <v/>
      </c>
      <c r="D212" s="5">
        <f>COUNTIF('2_Token'!$D$7:$AK$7,$A212)</f>
        <v/>
      </c>
      <c r="E212" s="5">
        <f>COUNTIF('2_Token'!$D$8:$AK$8,$A212)</f>
        <v/>
      </c>
      <c r="F212" s="5">
        <f>COUNTIF('2_Token'!$D$9:$AK$9,$A212)</f>
        <v/>
      </c>
      <c r="G212" s="5">
        <f>COUNTIF('2_Token'!$D$10:$AK$10,$A212)</f>
        <v/>
      </c>
      <c r="H212" s="5">
        <f>COUNTIF('2_Token'!$D$11:$AK$11,$A212)</f>
        <v/>
      </c>
      <c r="I212" s="5">
        <f>COUNTIF('2_Token'!$D$12:$AK$12,$A212)</f>
        <v/>
      </c>
      <c r="J212" s="5">
        <f>COUNTIF('2_Token'!$D$13:$AK$13,$A212)</f>
        <v/>
      </c>
      <c r="K212" s="5">
        <f>COUNTIF('2_Token'!$D$14:$AK$14,$A212)</f>
        <v/>
      </c>
      <c r="L212" s="5">
        <f>COUNTIF('2_Token'!$D$15:$AK$15,$A212)</f>
        <v/>
      </c>
      <c r="M212" s="5">
        <f>COUNTIF('2_Token'!$D$16:$AK$16,$A212)</f>
        <v/>
      </c>
      <c r="N212" s="5">
        <f>SUM(B212:M212)</f>
        <v/>
      </c>
    </row>
    <row r="213">
      <c r="A213" s="6" t="inlineStr">
        <is>
          <t>undang</t>
        </is>
      </c>
      <c r="B213" s="5">
        <f>COUNTIF('2_Token'!$D$5:$AK$5,$A213)</f>
        <v/>
      </c>
      <c r="C213" s="5">
        <f>COUNTIF('2_Token'!$D$6:$AK$6,$A213)</f>
        <v/>
      </c>
      <c r="D213" s="5">
        <f>COUNTIF('2_Token'!$D$7:$AK$7,$A213)</f>
        <v/>
      </c>
      <c r="E213" s="5">
        <f>COUNTIF('2_Token'!$D$8:$AK$8,$A213)</f>
        <v/>
      </c>
      <c r="F213" s="5">
        <f>COUNTIF('2_Token'!$D$9:$AK$9,$A213)</f>
        <v/>
      </c>
      <c r="G213" s="5">
        <f>COUNTIF('2_Token'!$D$10:$AK$10,$A213)</f>
        <v/>
      </c>
      <c r="H213" s="5">
        <f>COUNTIF('2_Token'!$D$11:$AK$11,$A213)</f>
        <v/>
      </c>
      <c r="I213" s="5">
        <f>COUNTIF('2_Token'!$D$12:$AK$12,$A213)</f>
        <v/>
      </c>
      <c r="J213" s="5">
        <f>COUNTIF('2_Token'!$D$13:$AK$13,$A213)</f>
        <v/>
      </c>
      <c r="K213" s="5">
        <f>COUNTIF('2_Token'!$D$14:$AK$14,$A213)</f>
        <v/>
      </c>
      <c r="L213" s="5">
        <f>COUNTIF('2_Token'!$D$15:$AK$15,$A213)</f>
        <v/>
      </c>
      <c r="M213" s="5">
        <f>COUNTIF('2_Token'!$D$16:$AK$16,$A213)</f>
        <v/>
      </c>
      <c r="N213" s="5">
        <f>SUM(B213:M213)</f>
        <v/>
      </c>
    </row>
    <row r="214">
      <c r="A214" s="6" t="inlineStr">
        <is>
          <t>upacara</t>
        </is>
      </c>
      <c r="B214" s="5">
        <f>COUNTIF('2_Token'!$D$5:$AK$5,$A214)</f>
        <v/>
      </c>
      <c r="C214" s="5">
        <f>COUNTIF('2_Token'!$D$6:$AK$6,$A214)</f>
        <v/>
      </c>
      <c r="D214" s="5">
        <f>COUNTIF('2_Token'!$D$7:$AK$7,$A214)</f>
        <v/>
      </c>
      <c r="E214" s="5">
        <f>COUNTIF('2_Token'!$D$8:$AK$8,$A214)</f>
        <v/>
      </c>
      <c r="F214" s="5">
        <f>COUNTIF('2_Token'!$D$9:$AK$9,$A214)</f>
        <v/>
      </c>
      <c r="G214" s="5">
        <f>COUNTIF('2_Token'!$D$10:$AK$10,$A214)</f>
        <v/>
      </c>
      <c r="H214" s="5">
        <f>COUNTIF('2_Token'!$D$11:$AK$11,$A214)</f>
        <v/>
      </c>
      <c r="I214" s="5">
        <f>COUNTIF('2_Token'!$D$12:$AK$12,$A214)</f>
        <v/>
      </c>
      <c r="J214" s="5">
        <f>COUNTIF('2_Token'!$D$13:$AK$13,$A214)</f>
        <v/>
      </c>
      <c r="K214" s="5">
        <f>COUNTIF('2_Token'!$D$14:$AK$14,$A214)</f>
        <v/>
      </c>
      <c r="L214" s="5">
        <f>COUNTIF('2_Token'!$D$15:$AK$15,$A214)</f>
        <v/>
      </c>
      <c r="M214" s="5">
        <f>COUNTIF('2_Token'!$D$16:$AK$16,$A214)</f>
        <v/>
      </c>
      <c r="N214" s="5">
        <f>SUM(B214:M214)</f>
        <v/>
      </c>
    </row>
    <row r="215">
      <c r="A215" s="6" t="inlineStr">
        <is>
          <t>usul</t>
        </is>
      </c>
      <c r="B215" s="5">
        <f>COUNTIF('2_Token'!$D$5:$AK$5,$A215)</f>
        <v/>
      </c>
      <c r="C215" s="5">
        <f>COUNTIF('2_Token'!$D$6:$AK$6,$A215)</f>
        <v/>
      </c>
      <c r="D215" s="5">
        <f>COUNTIF('2_Token'!$D$7:$AK$7,$A215)</f>
        <v/>
      </c>
      <c r="E215" s="5">
        <f>COUNTIF('2_Token'!$D$8:$AK$8,$A215)</f>
        <v/>
      </c>
      <c r="F215" s="5">
        <f>COUNTIF('2_Token'!$D$9:$AK$9,$A215)</f>
        <v/>
      </c>
      <c r="G215" s="5">
        <f>COUNTIF('2_Token'!$D$10:$AK$10,$A215)</f>
        <v/>
      </c>
      <c r="H215" s="5">
        <f>COUNTIF('2_Token'!$D$11:$AK$11,$A215)</f>
        <v/>
      </c>
      <c r="I215" s="5">
        <f>COUNTIF('2_Token'!$D$12:$AK$12,$A215)</f>
        <v/>
      </c>
      <c r="J215" s="5">
        <f>COUNTIF('2_Token'!$D$13:$AK$13,$A215)</f>
        <v/>
      </c>
      <c r="K215" s="5">
        <f>COUNTIF('2_Token'!$D$14:$AK$14,$A215)</f>
        <v/>
      </c>
      <c r="L215" s="5">
        <f>COUNTIF('2_Token'!$D$15:$AK$15,$A215)</f>
        <v/>
      </c>
      <c r="M215" s="5">
        <f>COUNTIF('2_Token'!$D$16:$AK$16,$A215)</f>
        <v/>
      </c>
      <c r="N215" s="5">
        <f>SUM(B215:M215)</f>
        <v/>
      </c>
    </row>
    <row r="216">
      <c r="A216" s="6" t="inlineStr">
        <is>
          <t>utama</t>
        </is>
      </c>
      <c r="B216" s="5">
        <f>COUNTIF('2_Token'!$D$5:$AK$5,$A216)</f>
        <v/>
      </c>
      <c r="C216" s="5">
        <f>COUNTIF('2_Token'!$D$6:$AK$6,$A216)</f>
        <v/>
      </c>
      <c r="D216" s="5">
        <f>COUNTIF('2_Token'!$D$7:$AK$7,$A216)</f>
        <v/>
      </c>
      <c r="E216" s="5">
        <f>COUNTIF('2_Token'!$D$8:$AK$8,$A216)</f>
        <v/>
      </c>
      <c r="F216" s="5">
        <f>COUNTIF('2_Token'!$D$9:$AK$9,$A216)</f>
        <v/>
      </c>
      <c r="G216" s="5">
        <f>COUNTIF('2_Token'!$D$10:$AK$10,$A216)</f>
        <v/>
      </c>
      <c r="H216" s="5">
        <f>COUNTIF('2_Token'!$D$11:$AK$11,$A216)</f>
        <v/>
      </c>
      <c r="I216" s="5">
        <f>COUNTIF('2_Token'!$D$12:$AK$12,$A216)</f>
        <v/>
      </c>
      <c r="J216" s="5">
        <f>COUNTIF('2_Token'!$D$13:$AK$13,$A216)</f>
        <v/>
      </c>
      <c r="K216" s="5">
        <f>COUNTIF('2_Token'!$D$14:$AK$14,$A216)</f>
        <v/>
      </c>
      <c r="L216" s="5">
        <f>COUNTIF('2_Token'!$D$15:$AK$15,$A216)</f>
        <v/>
      </c>
      <c r="M216" s="5">
        <f>COUNTIF('2_Token'!$D$16:$AK$16,$A216)</f>
        <v/>
      </c>
      <c r="N216" s="5">
        <f>SUM(B216:M216)</f>
        <v/>
      </c>
    </row>
    <row r="217">
      <c r="A217" s="6" t="inlineStr">
        <is>
          <t>video</t>
        </is>
      </c>
      <c r="B217" s="5">
        <f>COUNTIF('2_Token'!$D$5:$AK$5,$A217)</f>
        <v/>
      </c>
      <c r="C217" s="5">
        <f>COUNTIF('2_Token'!$D$6:$AK$6,$A217)</f>
        <v/>
      </c>
      <c r="D217" s="5">
        <f>COUNTIF('2_Token'!$D$7:$AK$7,$A217)</f>
        <v/>
      </c>
      <c r="E217" s="5">
        <f>COUNTIF('2_Token'!$D$8:$AK$8,$A217)</f>
        <v/>
      </c>
      <c r="F217" s="5">
        <f>COUNTIF('2_Token'!$D$9:$AK$9,$A217)</f>
        <v/>
      </c>
      <c r="G217" s="5">
        <f>COUNTIF('2_Token'!$D$10:$AK$10,$A217)</f>
        <v/>
      </c>
      <c r="H217" s="5">
        <f>COUNTIF('2_Token'!$D$11:$AK$11,$A217)</f>
        <v/>
      </c>
      <c r="I217" s="5">
        <f>COUNTIF('2_Token'!$D$12:$AK$12,$A217)</f>
        <v/>
      </c>
      <c r="J217" s="5">
        <f>COUNTIF('2_Token'!$D$13:$AK$13,$A217)</f>
        <v/>
      </c>
      <c r="K217" s="5">
        <f>COUNTIF('2_Token'!$D$14:$AK$14,$A217)</f>
        <v/>
      </c>
      <c r="L217" s="5">
        <f>COUNTIF('2_Token'!$D$15:$AK$15,$A217)</f>
        <v/>
      </c>
      <c r="M217" s="5">
        <f>COUNTIF('2_Token'!$D$16:$AK$16,$A217)</f>
        <v/>
      </c>
      <c r="N217" s="5">
        <f>SUM(B217:M217)</f>
        <v/>
      </c>
    </row>
    <row r="218">
      <c r="A218" s="6" t="inlineStr">
        <is>
          <t>videographer</t>
        </is>
      </c>
      <c r="B218" s="5">
        <f>COUNTIF('2_Token'!$D$5:$AK$5,$A218)</f>
        <v/>
      </c>
      <c r="C218" s="5">
        <f>COUNTIF('2_Token'!$D$6:$AK$6,$A218)</f>
        <v/>
      </c>
      <c r="D218" s="5">
        <f>COUNTIF('2_Token'!$D$7:$AK$7,$A218)</f>
        <v/>
      </c>
      <c r="E218" s="5">
        <f>COUNTIF('2_Token'!$D$8:$AK$8,$A218)</f>
        <v/>
      </c>
      <c r="F218" s="5">
        <f>COUNTIF('2_Token'!$D$9:$AK$9,$A218)</f>
        <v/>
      </c>
      <c r="G218" s="5">
        <f>COUNTIF('2_Token'!$D$10:$AK$10,$A218)</f>
        <v/>
      </c>
      <c r="H218" s="5">
        <f>COUNTIF('2_Token'!$D$11:$AK$11,$A218)</f>
        <v/>
      </c>
      <c r="I218" s="5">
        <f>COUNTIF('2_Token'!$D$12:$AK$12,$A218)</f>
        <v/>
      </c>
      <c r="J218" s="5">
        <f>COUNTIF('2_Token'!$D$13:$AK$13,$A218)</f>
        <v/>
      </c>
      <c r="K218" s="5">
        <f>COUNTIF('2_Token'!$D$14:$AK$14,$A218)</f>
        <v/>
      </c>
      <c r="L218" s="5">
        <f>COUNTIF('2_Token'!$D$15:$AK$15,$A218)</f>
        <v/>
      </c>
      <c r="M218" s="5">
        <f>COUNTIF('2_Token'!$D$16:$AK$16,$A218)</f>
        <v/>
      </c>
      <c r="N218" s="5">
        <f>SUM(B218:M218)</f>
        <v/>
      </c>
    </row>
    <row r="219">
      <c r="A219" s="6" t="inlineStr">
        <is>
          <t>wakatobi</t>
        </is>
      </c>
      <c r="B219" s="5">
        <f>COUNTIF('2_Token'!$D$5:$AK$5,$A219)</f>
        <v/>
      </c>
      <c r="C219" s="5">
        <f>COUNTIF('2_Token'!$D$6:$AK$6,$A219)</f>
        <v/>
      </c>
      <c r="D219" s="5">
        <f>COUNTIF('2_Token'!$D$7:$AK$7,$A219)</f>
        <v/>
      </c>
      <c r="E219" s="5">
        <f>COUNTIF('2_Token'!$D$8:$AK$8,$A219)</f>
        <v/>
      </c>
      <c r="F219" s="5">
        <f>COUNTIF('2_Token'!$D$9:$AK$9,$A219)</f>
        <v/>
      </c>
      <c r="G219" s="5">
        <f>COUNTIF('2_Token'!$D$10:$AK$10,$A219)</f>
        <v/>
      </c>
      <c r="H219" s="5">
        <f>COUNTIF('2_Token'!$D$11:$AK$11,$A219)</f>
        <v/>
      </c>
      <c r="I219" s="5">
        <f>COUNTIF('2_Token'!$D$12:$AK$12,$A219)</f>
        <v/>
      </c>
      <c r="J219" s="5">
        <f>COUNTIF('2_Token'!$D$13:$AK$13,$A219)</f>
        <v/>
      </c>
      <c r="K219" s="5">
        <f>COUNTIF('2_Token'!$D$14:$AK$14,$A219)</f>
        <v/>
      </c>
      <c r="L219" s="5">
        <f>COUNTIF('2_Token'!$D$15:$AK$15,$A219)</f>
        <v/>
      </c>
      <c r="M219" s="5">
        <f>COUNTIF('2_Token'!$D$16:$AK$16,$A219)</f>
        <v/>
      </c>
      <c r="N219" s="5">
        <f>SUM(B219:M219)</f>
        <v/>
      </c>
    </row>
    <row r="220">
      <c r="A220" s="6" t="inlineStr">
        <is>
          <t>waktu</t>
        </is>
      </c>
      <c r="B220" s="5">
        <f>COUNTIF('2_Token'!$D$5:$AK$5,$A220)</f>
        <v/>
      </c>
      <c r="C220" s="5">
        <f>COUNTIF('2_Token'!$D$6:$AK$6,$A220)</f>
        <v/>
      </c>
      <c r="D220" s="5">
        <f>COUNTIF('2_Token'!$D$7:$AK$7,$A220)</f>
        <v/>
      </c>
      <c r="E220" s="5">
        <f>COUNTIF('2_Token'!$D$8:$AK$8,$A220)</f>
        <v/>
      </c>
      <c r="F220" s="5">
        <f>COUNTIF('2_Token'!$D$9:$AK$9,$A220)</f>
        <v/>
      </c>
      <c r="G220" s="5">
        <f>COUNTIF('2_Token'!$D$10:$AK$10,$A220)</f>
        <v/>
      </c>
      <c r="H220" s="5">
        <f>COUNTIF('2_Token'!$D$11:$AK$11,$A220)</f>
        <v/>
      </c>
      <c r="I220" s="5">
        <f>COUNTIF('2_Token'!$D$12:$AK$12,$A220)</f>
        <v/>
      </c>
      <c r="J220" s="5">
        <f>COUNTIF('2_Token'!$D$13:$AK$13,$A220)</f>
        <v/>
      </c>
      <c r="K220" s="5">
        <f>COUNTIF('2_Token'!$D$14:$AK$14,$A220)</f>
        <v/>
      </c>
      <c r="L220" s="5">
        <f>COUNTIF('2_Token'!$D$15:$AK$15,$A220)</f>
        <v/>
      </c>
      <c r="M220" s="5">
        <f>COUNTIF('2_Token'!$D$16:$AK$16,$A220)</f>
        <v/>
      </c>
      <c r="N220" s="5">
        <f>SUM(B220:M220)</f>
        <v/>
      </c>
    </row>
    <row r="221">
      <c r="A221" s="6" t="inlineStr">
        <is>
          <t>warga</t>
        </is>
      </c>
      <c r="B221" s="5">
        <f>COUNTIF('2_Token'!$D$5:$AK$5,$A221)</f>
        <v/>
      </c>
      <c r="C221" s="5">
        <f>COUNTIF('2_Token'!$D$6:$AK$6,$A221)</f>
        <v/>
      </c>
      <c r="D221" s="5">
        <f>COUNTIF('2_Token'!$D$7:$AK$7,$A221)</f>
        <v/>
      </c>
      <c r="E221" s="5">
        <f>COUNTIF('2_Token'!$D$8:$AK$8,$A221)</f>
        <v/>
      </c>
      <c r="F221" s="5">
        <f>COUNTIF('2_Token'!$D$9:$AK$9,$A221)</f>
        <v/>
      </c>
      <c r="G221" s="5">
        <f>COUNTIF('2_Token'!$D$10:$AK$10,$A221)</f>
        <v/>
      </c>
      <c r="H221" s="5">
        <f>COUNTIF('2_Token'!$D$11:$AK$11,$A221)</f>
        <v/>
      </c>
      <c r="I221" s="5">
        <f>COUNTIF('2_Token'!$D$12:$AK$12,$A221)</f>
        <v/>
      </c>
      <c r="J221" s="5">
        <f>COUNTIF('2_Token'!$D$13:$AK$13,$A221)</f>
        <v/>
      </c>
      <c r="K221" s="5">
        <f>COUNTIF('2_Token'!$D$14:$AK$14,$A221)</f>
        <v/>
      </c>
      <c r="L221" s="5">
        <f>COUNTIF('2_Token'!$D$15:$AK$15,$A221)</f>
        <v/>
      </c>
      <c r="M221" s="5">
        <f>COUNTIF('2_Token'!$D$16:$AK$16,$A221)</f>
        <v/>
      </c>
      <c r="N221" s="5">
        <f>SUM(B221:M221)</f>
        <v/>
      </c>
    </row>
    <row r="222">
      <c r="A222" s="6" t="inlineStr">
        <is>
          <t>waris</t>
        </is>
      </c>
      <c r="B222" s="5">
        <f>COUNTIF('2_Token'!$D$5:$AK$5,$A222)</f>
        <v/>
      </c>
      <c r="C222" s="5">
        <f>COUNTIF('2_Token'!$D$6:$AK$6,$A222)</f>
        <v/>
      </c>
      <c r="D222" s="5">
        <f>COUNTIF('2_Token'!$D$7:$AK$7,$A222)</f>
        <v/>
      </c>
      <c r="E222" s="5">
        <f>COUNTIF('2_Token'!$D$8:$AK$8,$A222)</f>
        <v/>
      </c>
      <c r="F222" s="5">
        <f>COUNTIF('2_Token'!$D$9:$AK$9,$A222)</f>
        <v/>
      </c>
      <c r="G222" s="5">
        <f>COUNTIF('2_Token'!$D$10:$AK$10,$A222)</f>
        <v/>
      </c>
      <c r="H222" s="5">
        <f>COUNTIF('2_Token'!$D$11:$AK$11,$A222)</f>
        <v/>
      </c>
      <c r="I222" s="5">
        <f>COUNTIF('2_Token'!$D$12:$AK$12,$A222)</f>
        <v/>
      </c>
      <c r="J222" s="5">
        <f>COUNTIF('2_Token'!$D$13:$AK$13,$A222)</f>
        <v/>
      </c>
      <c r="K222" s="5">
        <f>COUNTIF('2_Token'!$D$14:$AK$14,$A222)</f>
        <v/>
      </c>
      <c r="L222" s="5">
        <f>COUNTIF('2_Token'!$D$15:$AK$15,$A222)</f>
        <v/>
      </c>
      <c r="M222" s="5">
        <f>COUNTIF('2_Token'!$D$16:$AK$16,$A222)</f>
        <v/>
      </c>
      <c r="N222" s="5">
        <f>SUM(B222:M222)</f>
        <v/>
      </c>
    </row>
    <row r="223">
      <c r="A223" s="6" t="inlineStr">
        <is>
          <t>youtube</t>
        </is>
      </c>
      <c r="B223" s="5">
        <f>COUNTIF('2_Token'!$D$5:$AK$5,$A223)</f>
        <v/>
      </c>
      <c r="C223" s="5">
        <f>COUNTIF('2_Token'!$D$6:$AK$6,$A223)</f>
        <v/>
      </c>
      <c r="D223" s="5">
        <f>COUNTIF('2_Token'!$D$7:$AK$7,$A223)</f>
        <v/>
      </c>
      <c r="E223" s="5">
        <f>COUNTIF('2_Token'!$D$8:$AK$8,$A223)</f>
        <v/>
      </c>
      <c r="F223" s="5">
        <f>COUNTIF('2_Token'!$D$9:$AK$9,$A223)</f>
        <v/>
      </c>
      <c r="G223" s="5">
        <f>COUNTIF('2_Token'!$D$10:$AK$10,$A223)</f>
        <v/>
      </c>
      <c r="H223" s="5">
        <f>COUNTIF('2_Token'!$D$11:$AK$11,$A223)</f>
        <v/>
      </c>
      <c r="I223" s="5">
        <f>COUNTIF('2_Token'!$D$12:$AK$12,$A223)</f>
        <v/>
      </c>
      <c r="J223" s="5">
        <f>COUNTIF('2_Token'!$D$13:$AK$13,$A223)</f>
        <v/>
      </c>
      <c r="K223" s="5">
        <f>COUNTIF('2_Token'!$D$14:$AK$14,$A223)</f>
        <v/>
      </c>
      <c r="L223" s="5">
        <f>COUNTIF('2_Token'!$D$15:$AK$15,$A223)</f>
        <v/>
      </c>
      <c r="M223" s="5">
        <f>COUNTIF('2_Token'!$D$16:$AK$16,$A223)</f>
        <v/>
      </c>
      <c r="N223" s="5">
        <f>SUM(B223:M223)</f>
        <v/>
      </c>
    </row>
    <row r="224">
      <c r="A224" s="6" t="inlineStr">
        <is>
          <t>yudhi</t>
        </is>
      </c>
      <c r="B224" s="5">
        <f>COUNTIF('2_Token'!$D$5:$AK$5,$A224)</f>
        <v/>
      </c>
      <c r="C224" s="5">
        <f>COUNTIF('2_Token'!$D$6:$AK$6,$A224)</f>
        <v/>
      </c>
      <c r="D224" s="5">
        <f>COUNTIF('2_Token'!$D$7:$AK$7,$A224)</f>
        <v/>
      </c>
      <c r="E224" s="5">
        <f>COUNTIF('2_Token'!$D$8:$AK$8,$A224)</f>
        <v/>
      </c>
      <c r="F224" s="5">
        <f>COUNTIF('2_Token'!$D$9:$AK$9,$A224)</f>
        <v/>
      </c>
      <c r="G224" s="5">
        <f>COUNTIF('2_Token'!$D$10:$AK$10,$A224)</f>
        <v/>
      </c>
      <c r="H224" s="5">
        <f>COUNTIF('2_Token'!$D$11:$AK$11,$A224)</f>
        <v/>
      </c>
      <c r="I224" s="5">
        <f>COUNTIF('2_Token'!$D$12:$AK$12,$A224)</f>
        <v/>
      </c>
      <c r="J224" s="5">
        <f>COUNTIF('2_Token'!$D$13:$AK$13,$A224)</f>
        <v/>
      </c>
      <c r="K224" s="5">
        <f>COUNTIF('2_Token'!$D$14:$AK$14,$A224)</f>
        <v/>
      </c>
      <c r="L224" s="5">
        <f>COUNTIF('2_Token'!$D$15:$AK$15,$A224)</f>
        <v/>
      </c>
      <c r="M224" s="5">
        <f>COUNTIF('2_Token'!$D$16:$AK$16,$A224)</f>
        <v/>
      </c>
      <c r="N224" s="5">
        <f>SUM(B224:M224)</f>
        <v/>
      </c>
    </row>
    <row r="225">
      <c r="A225" s="6" t="inlineStr">
        <is>
          <t>zulfikar</t>
        </is>
      </c>
      <c r="B225" s="5">
        <f>COUNTIF('2_Token'!$D$5:$AK$5,$A225)</f>
        <v/>
      </c>
      <c r="C225" s="5">
        <f>COUNTIF('2_Token'!$D$6:$AK$6,$A225)</f>
        <v/>
      </c>
      <c r="D225" s="5">
        <f>COUNTIF('2_Token'!$D$7:$AK$7,$A225)</f>
        <v/>
      </c>
      <c r="E225" s="5">
        <f>COUNTIF('2_Token'!$D$8:$AK$8,$A225)</f>
        <v/>
      </c>
      <c r="F225" s="5">
        <f>COUNTIF('2_Token'!$D$9:$AK$9,$A225)</f>
        <v/>
      </c>
      <c r="G225" s="5">
        <f>COUNTIF('2_Token'!$D$10:$AK$10,$A225)</f>
        <v/>
      </c>
      <c r="H225" s="5">
        <f>COUNTIF('2_Token'!$D$11:$AK$11,$A225)</f>
        <v/>
      </c>
      <c r="I225" s="5">
        <f>COUNTIF('2_Token'!$D$12:$AK$12,$A225)</f>
        <v/>
      </c>
      <c r="J225" s="5">
        <f>COUNTIF('2_Token'!$D$13:$AK$13,$A225)</f>
        <v/>
      </c>
      <c r="K225" s="5">
        <f>COUNTIF('2_Token'!$D$14:$AK$14,$A225)</f>
        <v/>
      </c>
      <c r="L225" s="5">
        <f>COUNTIF('2_Token'!$D$15:$AK$15,$A225)</f>
        <v/>
      </c>
      <c r="M225" s="5">
        <f>COUNTIF('2_Token'!$D$16:$AK$16,$A225)</f>
        <v/>
      </c>
      <c r="N225" s="5">
        <f>SUM(B225:M225)</f>
        <v/>
      </c>
    </row>
    <row r="226">
      <c r="A226" s="4" t="inlineStr">
        <is>
          <t>Total token</t>
        </is>
      </c>
      <c r="B226" s="5">
        <f>SUM(B6:B225)</f>
        <v/>
      </c>
      <c r="C226" s="5">
        <f>SUM(C6:C225)</f>
        <v/>
      </c>
      <c r="D226" s="5">
        <f>SUM(D6:D225)</f>
        <v/>
      </c>
      <c r="E226" s="5">
        <f>SUM(E6:E225)</f>
        <v/>
      </c>
      <c r="F226" s="5">
        <f>SUM(F6:F225)</f>
        <v/>
      </c>
      <c r="G226" s="5">
        <f>SUM(G6:G225)</f>
        <v/>
      </c>
      <c r="H226" s="5">
        <f>SUM(H6:H225)</f>
        <v/>
      </c>
      <c r="I226" s="5">
        <f>SUM(I6:I225)</f>
        <v/>
      </c>
      <c r="J226" s="5">
        <f>SUM(J6:J225)</f>
        <v/>
      </c>
      <c r="K226" s="5">
        <f>SUM(K6:K225)</f>
        <v/>
      </c>
      <c r="L226" s="5">
        <f>SUM(L6:L225)</f>
        <v/>
      </c>
      <c r="M226" s="5">
        <f>SUM(M6:M225)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5"/>
  <sheetViews>
    <sheetView workbookViewId="0">
      <selection activeCell="A1" sqref="A1"/>
    </sheetView>
  </sheetViews>
  <sheetFormatPr baseColWidth="8" defaultRowHeight="15"/>
  <cols>
    <col width="20" customWidth="1" min="1" max="1"/>
    <col width="8" customWidth="1" min="2" max="2"/>
    <col width="14" customWidth="1" min="3" max="3"/>
    <col width="12" customWidth="1" min="4" max="4"/>
    <col width="12" customWidth="1" min="5" max="5"/>
  </cols>
  <sheetData>
    <row r="1">
      <c r="A1" s="1" t="inlineStr">
        <is>
          <t>4 - Document Frequency dan IDF</t>
        </is>
      </c>
    </row>
    <row r="2">
      <c r="A2" s="2" t="inlineStr">
        <is>
          <t>IDF = LN((1 + N) / (1 + df)) + 1, yaitu smooth_idf bawaan TfidfVectorizer. N diambil dari 1_Data!L8.</t>
        </is>
      </c>
    </row>
    <row r="4" ht="30" customHeight="1">
      <c r="A4" s="3" t="inlineStr">
        <is>
          <t>Term</t>
        </is>
      </c>
      <c r="B4" s="3" t="inlineStr">
        <is>
          <t>df</t>
        </is>
      </c>
      <c r="C4" s="3" t="inlineStr">
        <is>
          <t>(1+N)/(1+df)</t>
        </is>
      </c>
      <c r="D4" s="3" t="inlineStr">
        <is>
          <t>LN(...)</t>
        </is>
      </c>
      <c r="E4" s="3" t="inlineStr">
        <is>
          <t>IDF</t>
        </is>
      </c>
    </row>
    <row r="6">
      <c r="A6" s="6">
        <f>'3_TF'!A6</f>
        <v/>
      </c>
      <c r="B6" s="5">
        <f>COUNTIF('3_TF'!B6:M6,"&gt;0")</f>
        <v/>
      </c>
      <c r="C6" s="5">
        <f>(1+'1_Data'!$L$8)/(1+B6)</f>
        <v/>
      </c>
      <c r="D6" s="9">
        <f>LN(C6)</f>
        <v/>
      </c>
      <c r="E6" s="9">
        <f>D6+1</f>
        <v/>
      </c>
    </row>
    <row r="7">
      <c r="A7" s="6">
        <f>'3_TF'!A7</f>
        <v/>
      </c>
      <c r="B7" s="5">
        <f>COUNTIF('3_TF'!B7:M7,"&gt;0")</f>
        <v/>
      </c>
      <c r="C7" s="5">
        <f>(1+'1_Data'!$L$8)/(1+B7)</f>
        <v/>
      </c>
      <c r="D7" s="9">
        <f>LN(C7)</f>
        <v/>
      </c>
      <c r="E7" s="9">
        <f>D7+1</f>
        <v/>
      </c>
    </row>
    <row r="8">
      <c r="A8" s="6">
        <f>'3_TF'!A8</f>
        <v/>
      </c>
      <c r="B8" s="5">
        <f>COUNTIF('3_TF'!B8:M8,"&gt;0")</f>
        <v/>
      </c>
      <c r="C8" s="5">
        <f>(1+'1_Data'!$L$8)/(1+B8)</f>
        <v/>
      </c>
      <c r="D8" s="9">
        <f>LN(C8)</f>
        <v/>
      </c>
      <c r="E8" s="9">
        <f>D8+1</f>
        <v/>
      </c>
    </row>
    <row r="9">
      <c r="A9" s="6">
        <f>'3_TF'!A9</f>
        <v/>
      </c>
      <c r="B9" s="5">
        <f>COUNTIF('3_TF'!B9:M9,"&gt;0")</f>
        <v/>
      </c>
      <c r="C9" s="5">
        <f>(1+'1_Data'!$L$8)/(1+B9)</f>
        <v/>
      </c>
      <c r="D9" s="9">
        <f>LN(C9)</f>
        <v/>
      </c>
      <c r="E9" s="9">
        <f>D9+1</f>
        <v/>
      </c>
    </row>
    <row r="10">
      <c r="A10" s="6">
        <f>'3_TF'!A10</f>
        <v/>
      </c>
      <c r="B10" s="5">
        <f>COUNTIF('3_TF'!B10:M10,"&gt;0")</f>
        <v/>
      </c>
      <c r="C10" s="5">
        <f>(1+'1_Data'!$L$8)/(1+B10)</f>
        <v/>
      </c>
      <c r="D10" s="9">
        <f>LN(C10)</f>
        <v/>
      </c>
      <c r="E10" s="9">
        <f>D10+1</f>
        <v/>
      </c>
    </row>
    <row r="11">
      <c r="A11" s="6">
        <f>'3_TF'!A11</f>
        <v/>
      </c>
      <c r="B11" s="5">
        <f>COUNTIF('3_TF'!B11:M11,"&gt;0")</f>
        <v/>
      </c>
      <c r="C11" s="5">
        <f>(1+'1_Data'!$L$8)/(1+B11)</f>
        <v/>
      </c>
      <c r="D11" s="9">
        <f>LN(C11)</f>
        <v/>
      </c>
      <c r="E11" s="9">
        <f>D11+1</f>
        <v/>
      </c>
    </row>
    <row r="12">
      <c r="A12" s="6">
        <f>'3_TF'!A12</f>
        <v/>
      </c>
      <c r="B12" s="5">
        <f>COUNTIF('3_TF'!B12:M12,"&gt;0")</f>
        <v/>
      </c>
      <c r="C12" s="5">
        <f>(1+'1_Data'!$L$8)/(1+B12)</f>
        <v/>
      </c>
      <c r="D12" s="9">
        <f>LN(C12)</f>
        <v/>
      </c>
      <c r="E12" s="9">
        <f>D12+1</f>
        <v/>
      </c>
    </row>
    <row r="13">
      <c r="A13" s="6">
        <f>'3_TF'!A13</f>
        <v/>
      </c>
      <c r="B13" s="5">
        <f>COUNTIF('3_TF'!B13:M13,"&gt;0")</f>
        <v/>
      </c>
      <c r="C13" s="5">
        <f>(1+'1_Data'!$L$8)/(1+B13)</f>
        <v/>
      </c>
      <c r="D13" s="9">
        <f>LN(C13)</f>
        <v/>
      </c>
      <c r="E13" s="9">
        <f>D13+1</f>
        <v/>
      </c>
    </row>
    <row r="14">
      <c r="A14" s="6">
        <f>'3_TF'!A14</f>
        <v/>
      </c>
      <c r="B14" s="5">
        <f>COUNTIF('3_TF'!B14:M14,"&gt;0")</f>
        <v/>
      </c>
      <c r="C14" s="5">
        <f>(1+'1_Data'!$L$8)/(1+B14)</f>
        <v/>
      </c>
      <c r="D14" s="9">
        <f>LN(C14)</f>
        <v/>
      </c>
      <c r="E14" s="9">
        <f>D14+1</f>
        <v/>
      </c>
    </row>
    <row r="15">
      <c r="A15" s="6">
        <f>'3_TF'!A15</f>
        <v/>
      </c>
      <c r="B15" s="5">
        <f>COUNTIF('3_TF'!B15:M15,"&gt;0")</f>
        <v/>
      </c>
      <c r="C15" s="5">
        <f>(1+'1_Data'!$L$8)/(1+B15)</f>
        <v/>
      </c>
      <c r="D15" s="9">
        <f>LN(C15)</f>
        <v/>
      </c>
      <c r="E15" s="9">
        <f>D15+1</f>
        <v/>
      </c>
    </row>
    <row r="16">
      <c r="A16" s="6">
        <f>'3_TF'!A16</f>
        <v/>
      </c>
      <c r="B16" s="5">
        <f>COUNTIF('3_TF'!B16:M16,"&gt;0")</f>
        <v/>
      </c>
      <c r="C16" s="5">
        <f>(1+'1_Data'!$L$8)/(1+B16)</f>
        <v/>
      </c>
      <c r="D16" s="9">
        <f>LN(C16)</f>
        <v/>
      </c>
      <c r="E16" s="9">
        <f>D16+1</f>
        <v/>
      </c>
    </row>
    <row r="17">
      <c r="A17" s="6">
        <f>'3_TF'!A17</f>
        <v/>
      </c>
      <c r="B17" s="5">
        <f>COUNTIF('3_TF'!B17:M17,"&gt;0")</f>
        <v/>
      </c>
      <c r="C17" s="5">
        <f>(1+'1_Data'!$L$8)/(1+B17)</f>
        <v/>
      </c>
      <c r="D17" s="9">
        <f>LN(C17)</f>
        <v/>
      </c>
      <c r="E17" s="9">
        <f>D17+1</f>
        <v/>
      </c>
    </row>
    <row r="18">
      <c r="A18" s="6">
        <f>'3_TF'!A18</f>
        <v/>
      </c>
      <c r="B18" s="5">
        <f>COUNTIF('3_TF'!B18:M18,"&gt;0")</f>
        <v/>
      </c>
      <c r="C18" s="5">
        <f>(1+'1_Data'!$L$8)/(1+B18)</f>
        <v/>
      </c>
      <c r="D18" s="9">
        <f>LN(C18)</f>
        <v/>
      </c>
      <c r="E18" s="9">
        <f>D18+1</f>
        <v/>
      </c>
    </row>
    <row r="19">
      <c r="A19" s="6">
        <f>'3_TF'!A19</f>
        <v/>
      </c>
      <c r="B19" s="5">
        <f>COUNTIF('3_TF'!B19:M19,"&gt;0")</f>
        <v/>
      </c>
      <c r="C19" s="5">
        <f>(1+'1_Data'!$L$8)/(1+B19)</f>
        <v/>
      </c>
      <c r="D19" s="9">
        <f>LN(C19)</f>
        <v/>
      </c>
      <c r="E19" s="9">
        <f>D19+1</f>
        <v/>
      </c>
    </row>
    <row r="20">
      <c r="A20" s="6">
        <f>'3_TF'!A20</f>
        <v/>
      </c>
      <c r="B20" s="5">
        <f>COUNTIF('3_TF'!B20:M20,"&gt;0")</f>
        <v/>
      </c>
      <c r="C20" s="5">
        <f>(1+'1_Data'!$L$8)/(1+B20)</f>
        <v/>
      </c>
      <c r="D20" s="9">
        <f>LN(C20)</f>
        <v/>
      </c>
      <c r="E20" s="9">
        <f>D20+1</f>
        <v/>
      </c>
    </row>
    <row r="21">
      <c r="A21" s="6">
        <f>'3_TF'!A21</f>
        <v/>
      </c>
      <c r="B21" s="5">
        <f>COUNTIF('3_TF'!B21:M21,"&gt;0")</f>
        <v/>
      </c>
      <c r="C21" s="5">
        <f>(1+'1_Data'!$L$8)/(1+B21)</f>
        <v/>
      </c>
      <c r="D21" s="9">
        <f>LN(C21)</f>
        <v/>
      </c>
      <c r="E21" s="9">
        <f>D21+1</f>
        <v/>
      </c>
    </row>
    <row r="22">
      <c r="A22" s="6">
        <f>'3_TF'!A22</f>
        <v/>
      </c>
      <c r="B22" s="5">
        <f>COUNTIF('3_TF'!B22:M22,"&gt;0")</f>
        <v/>
      </c>
      <c r="C22" s="5">
        <f>(1+'1_Data'!$L$8)/(1+B22)</f>
        <v/>
      </c>
      <c r="D22" s="9">
        <f>LN(C22)</f>
        <v/>
      </c>
      <c r="E22" s="9">
        <f>D22+1</f>
        <v/>
      </c>
    </row>
    <row r="23">
      <c r="A23" s="6">
        <f>'3_TF'!A23</f>
        <v/>
      </c>
      <c r="B23" s="5">
        <f>COUNTIF('3_TF'!B23:M23,"&gt;0")</f>
        <v/>
      </c>
      <c r="C23" s="5">
        <f>(1+'1_Data'!$L$8)/(1+B23)</f>
        <v/>
      </c>
      <c r="D23" s="9">
        <f>LN(C23)</f>
        <v/>
      </c>
      <c r="E23" s="9">
        <f>D23+1</f>
        <v/>
      </c>
    </row>
    <row r="24">
      <c r="A24" s="6">
        <f>'3_TF'!A24</f>
        <v/>
      </c>
      <c r="B24" s="5">
        <f>COUNTIF('3_TF'!B24:M24,"&gt;0")</f>
        <v/>
      </c>
      <c r="C24" s="5">
        <f>(1+'1_Data'!$L$8)/(1+B24)</f>
        <v/>
      </c>
      <c r="D24" s="9">
        <f>LN(C24)</f>
        <v/>
      </c>
      <c r="E24" s="9">
        <f>D24+1</f>
        <v/>
      </c>
    </row>
    <row r="25">
      <c r="A25" s="6">
        <f>'3_TF'!A25</f>
        <v/>
      </c>
      <c r="B25" s="5">
        <f>COUNTIF('3_TF'!B25:M25,"&gt;0")</f>
        <v/>
      </c>
      <c r="C25" s="5">
        <f>(1+'1_Data'!$L$8)/(1+B25)</f>
        <v/>
      </c>
      <c r="D25" s="9">
        <f>LN(C25)</f>
        <v/>
      </c>
      <c r="E25" s="9">
        <f>D25+1</f>
        <v/>
      </c>
    </row>
    <row r="26">
      <c r="A26" s="6">
        <f>'3_TF'!A26</f>
        <v/>
      </c>
      <c r="B26" s="5">
        <f>COUNTIF('3_TF'!B26:M26,"&gt;0")</f>
        <v/>
      </c>
      <c r="C26" s="5">
        <f>(1+'1_Data'!$L$8)/(1+B26)</f>
        <v/>
      </c>
      <c r="D26" s="9">
        <f>LN(C26)</f>
        <v/>
      </c>
      <c r="E26" s="9">
        <f>D26+1</f>
        <v/>
      </c>
    </row>
    <row r="27">
      <c r="A27" s="6">
        <f>'3_TF'!A27</f>
        <v/>
      </c>
      <c r="B27" s="5">
        <f>COUNTIF('3_TF'!B27:M27,"&gt;0")</f>
        <v/>
      </c>
      <c r="C27" s="5">
        <f>(1+'1_Data'!$L$8)/(1+B27)</f>
        <v/>
      </c>
      <c r="D27" s="9">
        <f>LN(C27)</f>
        <v/>
      </c>
      <c r="E27" s="9">
        <f>D27+1</f>
        <v/>
      </c>
    </row>
    <row r="28">
      <c r="A28" s="6">
        <f>'3_TF'!A28</f>
        <v/>
      </c>
      <c r="B28" s="5">
        <f>COUNTIF('3_TF'!B28:M28,"&gt;0")</f>
        <v/>
      </c>
      <c r="C28" s="5">
        <f>(1+'1_Data'!$L$8)/(1+B28)</f>
        <v/>
      </c>
      <c r="D28" s="9">
        <f>LN(C28)</f>
        <v/>
      </c>
      <c r="E28" s="9">
        <f>D28+1</f>
        <v/>
      </c>
    </row>
    <row r="29">
      <c r="A29" s="6">
        <f>'3_TF'!A29</f>
        <v/>
      </c>
      <c r="B29" s="5">
        <f>COUNTIF('3_TF'!B29:M29,"&gt;0")</f>
        <v/>
      </c>
      <c r="C29" s="5">
        <f>(1+'1_Data'!$L$8)/(1+B29)</f>
        <v/>
      </c>
      <c r="D29" s="9">
        <f>LN(C29)</f>
        <v/>
      </c>
      <c r="E29" s="9">
        <f>D29+1</f>
        <v/>
      </c>
    </row>
    <row r="30">
      <c r="A30" s="6">
        <f>'3_TF'!A30</f>
        <v/>
      </c>
      <c r="B30" s="5">
        <f>COUNTIF('3_TF'!B30:M30,"&gt;0")</f>
        <v/>
      </c>
      <c r="C30" s="5">
        <f>(1+'1_Data'!$L$8)/(1+B30)</f>
        <v/>
      </c>
      <c r="D30" s="9">
        <f>LN(C30)</f>
        <v/>
      </c>
      <c r="E30" s="9">
        <f>D30+1</f>
        <v/>
      </c>
    </row>
    <row r="31">
      <c r="A31" s="6">
        <f>'3_TF'!A31</f>
        <v/>
      </c>
      <c r="B31" s="5">
        <f>COUNTIF('3_TF'!B31:M31,"&gt;0")</f>
        <v/>
      </c>
      <c r="C31" s="5">
        <f>(1+'1_Data'!$L$8)/(1+B31)</f>
        <v/>
      </c>
      <c r="D31" s="9">
        <f>LN(C31)</f>
        <v/>
      </c>
      <c r="E31" s="9">
        <f>D31+1</f>
        <v/>
      </c>
    </row>
    <row r="32">
      <c r="A32" s="6">
        <f>'3_TF'!A32</f>
        <v/>
      </c>
      <c r="B32" s="5">
        <f>COUNTIF('3_TF'!B32:M32,"&gt;0")</f>
        <v/>
      </c>
      <c r="C32" s="5">
        <f>(1+'1_Data'!$L$8)/(1+B32)</f>
        <v/>
      </c>
      <c r="D32" s="9">
        <f>LN(C32)</f>
        <v/>
      </c>
      <c r="E32" s="9">
        <f>D32+1</f>
        <v/>
      </c>
    </row>
    <row r="33">
      <c r="A33" s="6">
        <f>'3_TF'!A33</f>
        <v/>
      </c>
      <c r="B33" s="5">
        <f>COUNTIF('3_TF'!B33:M33,"&gt;0")</f>
        <v/>
      </c>
      <c r="C33" s="5">
        <f>(1+'1_Data'!$L$8)/(1+B33)</f>
        <v/>
      </c>
      <c r="D33" s="9">
        <f>LN(C33)</f>
        <v/>
      </c>
      <c r="E33" s="9">
        <f>D33+1</f>
        <v/>
      </c>
    </row>
    <row r="34">
      <c r="A34" s="6">
        <f>'3_TF'!A34</f>
        <v/>
      </c>
      <c r="B34" s="5">
        <f>COUNTIF('3_TF'!B34:M34,"&gt;0")</f>
        <v/>
      </c>
      <c r="C34" s="5">
        <f>(1+'1_Data'!$L$8)/(1+B34)</f>
        <v/>
      </c>
      <c r="D34" s="9">
        <f>LN(C34)</f>
        <v/>
      </c>
      <c r="E34" s="9">
        <f>D34+1</f>
        <v/>
      </c>
    </row>
    <row r="35">
      <c r="A35" s="6">
        <f>'3_TF'!A35</f>
        <v/>
      </c>
      <c r="B35" s="5">
        <f>COUNTIF('3_TF'!B35:M35,"&gt;0")</f>
        <v/>
      </c>
      <c r="C35" s="5">
        <f>(1+'1_Data'!$L$8)/(1+B35)</f>
        <v/>
      </c>
      <c r="D35" s="9">
        <f>LN(C35)</f>
        <v/>
      </c>
      <c r="E35" s="9">
        <f>D35+1</f>
        <v/>
      </c>
    </row>
    <row r="36">
      <c r="A36" s="6">
        <f>'3_TF'!A36</f>
        <v/>
      </c>
      <c r="B36" s="5">
        <f>COUNTIF('3_TF'!B36:M36,"&gt;0")</f>
        <v/>
      </c>
      <c r="C36" s="5">
        <f>(1+'1_Data'!$L$8)/(1+B36)</f>
        <v/>
      </c>
      <c r="D36" s="9">
        <f>LN(C36)</f>
        <v/>
      </c>
      <c r="E36" s="9">
        <f>D36+1</f>
        <v/>
      </c>
    </row>
    <row r="37">
      <c r="A37" s="6">
        <f>'3_TF'!A37</f>
        <v/>
      </c>
      <c r="B37" s="5">
        <f>COUNTIF('3_TF'!B37:M37,"&gt;0")</f>
        <v/>
      </c>
      <c r="C37" s="5">
        <f>(1+'1_Data'!$L$8)/(1+B37)</f>
        <v/>
      </c>
      <c r="D37" s="9">
        <f>LN(C37)</f>
        <v/>
      </c>
      <c r="E37" s="9">
        <f>D37+1</f>
        <v/>
      </c>
    </row>
    <row r="38">
      <c r="A38" s="6">
        <f>'3_TF'!A38</f>
        <v/>
      </c>
      <c r="B38" s="5">
        <f>COUNTIF('3_TF'!B38:M38,"&gt;0")</f>
        <v/>
      </c>
      <c r="C38" s="5">
        <f>(1+'1_Data'!$L$8)/(1+B38)</f>
        <v/>
      </c>
      <c r="D38" s="9">
        <f>LN(C38)</f>
        <v/>
      </c>
      <c r="E38" s="9">
        <f>D38+1</f>
        <v/>
      </c>
    </row>
    <row r="39">
      <c r="A39" s="6">
        <f>'3_TF'!A39</f>
        <v/>
      </c>
      <c r="B39" s="5">
        <f>COUNTIF('3_TF'!B39:M39,"&gt;0")</f>
        <v/>
      </c>
      <c r="C39" s="5">
        <f>(1+'1_Data'!$L$8)/(1+B39)</f>
        <v/>
      </c>
      <c r="D39" s="9">
        <f>LN(C39)</f>
        <v/>
      </c>
      <c r="E39" s="9">
        <f>D39+1</f>
        <v/>
      </c>
    </row>
    <row r="40">
      <c r="A40" s="6">
        <f>'3_TF'!A40</f>
        <v/>
      </c>
      <c r="B40" s="5">
        <f>COUNTIF('3_TF'!B40:M40,"&gt;0")</f>
        <v/>
      </c>
      <c r="C40" s="5">
        <f>(1+'1_Data'!$L$8)/(1+B40)</f>
        <v/>
      </c>
      <c r="D40" s="9">
        <f>LN(C40)</f>
        <v/>
      </c>
      <c r="E40" s="9">
        <f>D40+1</f>
        <v/>
      </c>
    </row>
    <row r="41">
      <c r="A41" s="6">
        <f>'3_TF'!A41</f>
        <v/>
      </c>
      <c r="B41" s="5">
        <f>COUNTIF('3_TF'!B41:M41,"&gt;0")</f>
        <v/>
      </c>
      <c r="C41" s="5">
        <f>(1+'1_Data'!$L$8)/(1+B41)</f>
        <v/>
      </c>
      <c r="D41" s="9">
        <f>LN(C41)</f>
        <v/>
      </c>
      <c r="E41" s="9">
        <f>D41+1</f>
        <v/>
      </c>
    </row>
    <row r="42">
      <c r="A42" s="6">
        <f>'3_TF'!A42</f>
        <v/>
      </c>
      <c r="B42" s="5">
        <f>COUNTIF('3_TF'!B42:M42,"&gt;0")</f>
        <v/>
      </c>
      <c r="C42" s="5">
        <f>(1+'1_Data'!$L$8)/(1+B42)</f>
        <v/>
      </c>
      <c r="D42" s="9">
        <f>LN(C42)</f>
        <v/>
      </c>
      <c r="E42" s="9">
        <f>D42+1</f>
        <v/>
      </c>
    </row>
    <row r="43">
      <c r="A43" s="6">
        <f>'3_TF'!A43</f>
        <v/>
      </c>
      <c r="B43" s="5">
        <f>COUNTIF('3_TF'!B43:M43,"&gt;0")</f>
        <v/>
      </c>
      <c r="C43" s="5">
        <f>(1+'1_Data'!$L$8)/(1+B43)</f>
        <v/>
      </c>
      <c r="D43" s="9">
        <f>LN(C43)</f>
        <v/>
      </c>
      <c r="E43" s="9">
        <f>D43+1</f>
        <v/>
      </c>
    </row>
    <row r="44">
      <c r="A44" s="6">
        <f>'3_TF'!A44</f>
        <v/>
      </c>
      <c r="B44" s="5">
        <f>COUNTIF('3_TF'!B44:M44,"&gt;0")</f>
        <v/>
      </c>
      <c r="C44" s="5">
        <f>(1+'1_Data'!$L$8)/(1+B44)</f>
        <v/>
      </c>
      <c r="D44" s="9">
        <f>LN(C44)</f>
        <v/>
      </c>
      <c r="E44" s="9">
        <f>D44+1</f>
        <v/>
      </c>
    </row>
    <row r="45">
      <c r="A45" s="6">
        <f>'3_TF'!A45</f>
        <v/>
      </c>
      <c r="B45" s="5">
        <f>COUNTIF('3_TF'!B45:M45,"&gt;0")</f>
        <v/>
      </c>
      <c r="C45" s="5">
        <f>(1+'1_Data'!$L$8)/(1+B45)</f>
        <v/>
      </c>
      <c r="D45" s="9">
        <f>LN(C45)</f>
        <v/>
      </c>
      <c r="E45" s="9">
        <f>D45+1</f>
        <v/>
      </c>
    </row>
    <row r="46">
      <c r="A46" s="6">
        <f>'3_TF'!A46</f>
        <v/>
      </c>
      <c r="B46" s="5">
        <f>COUNTIF('3_TF'!B46:M46,"&gt;0")</f>
        <v/>
      </c>
      <c r="C46" s="5">
        <f>(1+'1_Data'!$L$8)/(1+B46)</f>
        <v/>
      </c>
      <c r="D46" s="9">
        <f>LN(C46)</f>
        <v/>
      </c>
      <c r="E46" s="9">
        <f>D46+1</f>
        <v/>
      </c>
    </row>
    <row r="47">
      <c r="A47" s="6">
        <f>'3_TF'!A47</f>
        <v/>
      </c>
      <c r="B47" s="5">
        <f>COUNTIF('3_TF'!B47:M47,"&gt;0")</f>
        <v/>
      </c>
      <c r="C47" s="5">
        <f>(1+'1_Data'!$L$8)/(1+B47)</f>
        <v/>
      </c>
      <c r="D47" s="9">
        <f>LN(C47)</f>
        <v/>
      </c>
      <c r="E47" s="9">
        <f>D47+1</f>
        <v/>
      </c>
    </row>
    <row r="48">
      <c r="A48" s="6">
        <f>'3_TF'!A48</f>
        <v/>
      </c>
      <c r="B48" s="5">
        <f>COUNTIF('3_TF'!B48:M48,"&gt;0")</f>
        <v/>
      </c>
      <c r="C48" s="5">
        <f>(1+'1_Data'!$L$8)/(1+B48)</f>
        <v/>
      </c>
      <c r="D48" s="9">
        <f>LN(C48)</f>
        <v/>
      </c>
      <c r="E48" s="9">
        <f>D48+1</f>
        <v/>
      </c>
    </row>
    <row r="49">
      <c r="A49" s="6">
        <f>'3_TF'!A49</f>
        <v/>
      </c>
      <c r="B49" s="5">
        <f>COUNTIF('3_TF'!B49:M49,"&gt;0")</f>
        <v/>
      </c>
      <c r="C49" s="5">
        <f>(1+'1_Data'!$L$8)/(1+B49)</f>
        <v/>
      </c>
      <c r="D49" s="9">
        <f>LN(C49)</f>
        <v/>
      </c>
      <c r="E49" s="9">
        <f>D49+1</f>
        <v/>
      </c>
    </row>
    <row r="50">
      <c r="A50" s="6">
        <f>'3_TF'!A50</f>
        <v/>
      </c>
      <c r="B50" s="5">
        <f>COUNTIF('3_TF'!B50:M50,"&gt;0")</f>
        <v/>
      </c>
      <c r="C50" s="5">
        <f>(1+'1_Data'!$L$8)/(1+B50)</f>
        <v/>
      </c>
      <c r="D50" s="9">
        <f>LN(C50)</f>
        <v/>
      </c>
      <c r="E50" s="9">
        <f>D50+1</f>
        <v/>
      </c>
    </row>
    <row r="51">
      <c r="A51" s="6">
        <f>'3_TF'!A51</f>
        <v/>
      </c>
      <c r="B51" s="5">
        <f>COUNTIF('3_TF'!B51:M51,"&gt;0")</f>
        <v/>
      </c>
      <c r="C51" s="5">
        <f>(1+'1_Data'!$L$8)/(1+B51)</f>
        <v/>
      </c>
      <c r="D51" s="9">
        <f>LN(C51)</f>
        <v/>
      </c>
      <c r="E51" s="9">
        <f>D51+1</f>
        <v/>
      </c>
    </row>
    <row r="52">
      <c r="A52" s="6">
        <f>'3_TF'!A52</f>
        <v/>
      </c>
      <c r="B52" s="5">
        <f>COUNTIF('3_TF'!B52:M52,"&gt;0")</f>
        <v/>
      </c>
      <c r="C52" s="5">
        <f>(1+'1_Data'!$L$8)/(1+B52)</f>
        <v/>
      </c>
      <c r="D52" s="9">
        <f>LN(C52)</f>
        <v/>
      </c>
      <c r="E52" s="9">
        <f>D52+1</f>
        <v/>
      </c>
    </row>
    <row r="53">
      <c r="A53" s="6">
        <f>'3_TF'!A53</f>
        <v/>
      </c>
      <c r="B53" s="5">
        <f>COUNTIF('3_TF'!B53:M53,"&gt;0")</f>
        <v/>
      </c>
      <c r="C53" s="5">
        <f>(1+'1_Data'!$L$8)/(1+B53)</f>
        <v/>
      </c>
      <c r="D53" s="9">
        <f>LN(C53)</f>
        <v/>
      </c>
      <c r="E53" s="9">
        <f>D53+1</f>
        <v/>
      </c>
    </row>
    <row r="54">
      <c r="A54" s="6">
        <f>'3_TF'!A54</f>
        <v/>
      </c>
      <c r="B54" s="5">
        <f>COUNTIF('3_TF'!B54:M54,"&gt;0")</f>
        <v/>
      </c>
      <c r="C54" s="5">
        <f>(1+'1_Data'!$L$8)/(1+B54)</f>
        <v/>
      </c>
      <c r="D54" s="9">
        <f>LN(C54)</f>
        <v/>
      </c>
      <c r="E54" s="9">
        <f>D54+1</f>
        <v/>
      </c>
    </row>
    <row r="55">
      <c r="A55" s="6">
        <f>'3_TF'!A55</f>
        <v/>
      </c>
      <c r="B55" s="5">
        <f>COUNTIF('3_TF'!B55:M55,"&gt;0")</f>
        <v/>
      </c>
      <c r="C55" s="5">
        <f>(1+'1_Data'!$L$8)/(1+B55)</f>
        <v/>
      </c>
      <c r="D55" s="9">
        <f>LN(C55)</f>
        <v/>
      </c>
      <c r="E55" s="9">
        <f>D55+1</f>
        <v/>
      </c>
    </row>
    <row r="56">
      <c r="A56" s="6">
        <f>'3_TF'!A56</f>
        <v/>
      </c>
      <c r="B56" s="5">
        <f>COUNTIF('3_TF'!B56:M56,"&gt;0")</f>
        <v/>
      </c>
      <c r="C56" s="5">
        <f>(1+'1_Data'!$L$8)/(1+B56)</f>
        <v/>
      </c>
      <c r="D56" s="9">
        <f>LN(C56)</f>
        <v/>
      </c>
      <c r="E56" s="9">
        <f>D56+1</f>
        <v/>
      </c>
    </row>
    <row r="57">
      <c r="A57" s="6">
        <f>'3_TF'!A57</f>
        <v/>
      </c>
      <c r="B57" s="5">
        <f>COUNTIF('3_TF'!B57:M57,"&gt;0")</f>
        <v/>
      </c>
      <c r="C57" s="5">
        <f>(1+'1_Data'!$L$8)/(1+B57)</f>
        <v/>
      </c>
      <c r="D57" s="9">
        <f>LN(C57)</f>
        <v/>
      </c>
      <c r="E57" s="9">
        <f>D57+1</f>
        <v/>
      </c>
    </row>
    <row r="58">
      <c r="A58" s="6">
        <f>'3_TF'!A58</f>
        <v/>
      </c>
      <c r="B58" s="5">
        <f>COUNTIF('3_TF'!B58:M58,"&gt;0")</f>
        <v/>
      </c>
      <c r="C58" s="5">
        <f>(1+'1_Data'!$L$8)/(1+B58)</f>
        <v/>
      </c>
      <c r="D58" s="9">
        <f>LN(C58)</f>
        <v/>
      </c>
      <c r="E58" s="9">
        <f>D58+1</f>
        <v/>
      </c>
    </row>
    <row r="59">
      <c r="A59" s="6">
        <f>'3_TF'!A59</f>
        <v/>
      </c>
      <c r="B59" s="5">
        <f>COUNTIF('3_TF'!B59:M59,"&gt;0")</f>
        <v/>
      </c>
      <c r="C59" s="5">
        <f>(1+'1_Data'!$L$8)/(1+B59)</f>
        <v/>
      </c>
      <c r="D59" s="9">
        <f>LN(C59)</f>
        <v/>
      </c>
      <c r="E59" s="9">
        <f>D59+1</f>
        <v/>
      </c>
    </row>
    <row r="60">
      <c r="A60" s="6">
        <f>'3_TF'!A60</f>
        <v/>
      </c>
      <c r="B60" s="5">
        <f>COUNTIF('3_TF'!B60:M60,"&gt;0")</f>
        <v/>
      </c>
      <c r="C60" s="5">
        <f>(1+'1_Data'!$L$8)/(1+B60)</f>
        <v/>
      </c>
      <c r="D60" s="9">
        <f>LN(C60)</f>
        <v/>
      </c>
      <c r="E60" s="9">
        <f>D60+1</f>
        <v/>
      </c>
    </row>
    <row r="61">
      <c r="A61" s="6">
        <f>'3_TF'!A61</f>
        <v/>
      </c>
      <c r="B61" s="5">
        <f>COUNTIF('3_TF'!B61:M61,"&gt;0")</f>
        <v/>
      </c>
      <c r="C61" s="5">
        <f>(1+'1_Data'!$L$8)/(1+B61)</f>
        <v/>
      </c>
      <c r="D61" s="9">
        <f>LN(C61)</f>
        <v/>
      </c>
      <c r="E61" s="9">
        <f>D61+1</f>
        <v/>
      </c>
    </row>
    <row r="62">
      <c r="A62" s="6">
        <f>'3_TF'!A62</f>
        <v/>
      </c>
      <c r="B62" s="5">
        <f>COUNTIF('3_TF'!B62:M62,"&gt;0")</f>
        <v/>
      </c>
      <c r="C62" s="5">
        <f>(1+'1_Data'!$L$8)/(1+B62)</f>
        <v/>
      </c>
      <c r="D62" s="9">
        <f>LN(C62)</f>
        <v/>
      </c>
      <c r="E62" s="9">
        <f>D62+1</f>
        <v/>
      </c>
    </row>
    <row r="63">
      <c r="A63" s="6">
        <f>'3_TF'!A63</f>
        <v/>
      </c>
      <c r="B63" s="5">
        <f>COUNTIF('3_TF'!B63:M63,"&gt;0")</f>
        <v/>
      </c>
      <c r="C63" s="5">
        <f>(1+'1_Data'!$L$8)/(1+B63)</f>
        <v/>
      </c>
      <c r="D63" s="9">
        <f>LN(C63)</f>
        <v/>
      </c>
      <c r="E63" s="9">
        <f>D63+1</f>
        <v/>
      </c>
    </row>
    <row r="64">
      <c r="A64" s="6">
        <f>'3_TF'!A64</f>
        <v/>
      </c>
      <c r="B64" s="5">
        <f>COUNTIF('3_TF'!B64:M64,"&gt;0")</f>
        <v/>
      </c>
      <c r="C64" s="5">
        <f>(1+'1_Data'!$L$8)/(1+B64)</f>
        <v/>
      </c>
      <c r="D64" s="9">
        <f>LN(C64)</f>
        <v/>
      </c>
      <c r="E64" s="9">
        <f>D64+1</f>
        <v/>
      </c>
    </row>
    <row r="65">
      <c r="A65" s="6">
        <f>'3_TF'!A65</f>
        <v/>
      </c>
      <c r="B65" s="5">
        <f>COUNTIF('3_TF'!B65:M65,"&gt;0")</f>
        <v/>
      </c>
      <c r="C65" s="5">
        <f>(1+'1_Data'!$L$8)/(1+B65)</f>
        <v/>
      </c>
      <c r="D65" s="9">
        <f>LN(C65)</f>
        <v/>
      </c>
      <c r="E65" s="9">
        <f>D65+1</f>
        <v/>
      </c>
    </row>
    <row r="66">
      <c r="A66" s="6">
        <f>'3_TF'!A66</f>
        <v/>
      </c>
      <c r="B66" s="5">
        <f>COUNTIF('3_TF'!B66:M66,"&gt;0")</f>
        <v/>
      </c>
      <c r="C66" s="5">
        <f>(1+'1_Data'!$L$8)/(1+B66)</f>
        <v/>
      </c>
      <c r="D66" s="9">
        <f>LN(C66)</f>
        <v/>
      </c>
      <c r="E66" s="9">
        <f>D66+1</f>
        <v/>
      </c>
    </row>
    <row r="67">
      <c r="A67" s="6">
        <f>'3_TF'!A67</f>
        <v/>
      </c>
      <c r="B67" s="5">
        <f>COUNTIF('3_TF'!B67:M67,"&gt;0")</f>
        <v/>
      </c>
      <c r="C67" s="5">
        <f>(1+'1_Data'!$L$8)/(1+B67)</f>
        <v/>
      </c>
      <c r="D67" s="9">
        <f>LN(C67)</f>
        <v/>
      </c>
      <c r="E67" s="9">
        <f>D67+1</f>
        <v/>
      </c>
    </row>
    <row r="68">
      <c r="A68" s="6">
        <f>'3_TF'!A68</f>
        <v/>
      </c>
      <c r="B68" s="5">
        <f>COUNTIF('3_TF'!B68:M68,"&gt;0")</f>
        <v/>
      </c>
      <c r="C68" s="5">
        <f>(1+'1_Data'!$L$8)/(1+B68)</f>
        <v/>
      </c>
      <c r="D68" s="9">
        <f>LN(C68)</f>
        <v/>
      </c>
      <c r="E68" s="9">
        <f>D68+1</f>
        <v/>
      </c>
    </row>
    <row r="69">
      <c r="A69" s="6">
        <f>'3_TF'!A69</f>
        <v/>
      </c>
      <c r="B69" s="5">
        <f>COUNTIF('3_TF'!B69:M69,"&gt;0")</f>
        <v/>
      </c>
      <c r="C69" s="5">
        <f>(1+'1_Data'!$L$8)/(1+B69)</f>
        <v/>
      </c>
      <c r="D69" s="9">
        <f>LN(C69)</f>
        <v/>
      </c>
      <c r="E69" s="9">
        <f>D69+1</f>
        <v/>
      </c>
    </row>
    <row r="70">
      <c r="A70" s="6">
        <f>'3_TF'!A70</f>
        <v/>
      </c>
      <c r="B70" s="5">
        <f>COUNTIF('3_TF'!B70:M70,"&gt;0")</f>
        <v/>
      </c>
      <c r="C70" s="5">
        <f>(1+'1_Data'!$L$8)/(1+B70)</f>
        <v/>
      </c>
      <c r="D70" s="9">
        <f>LN(C70)</f>
        <v/>
      </c>
      <c r="E70" s="9">
        <f>D70+1</f>
        <v/>
      </c>
    </row>
    <row r="71">
      <c r="A71" s="6">
        <f>'3_TF'!A71</f>
        <v/>
      </c>
      <c r="B71" s="5">
        <f>COUNTIF('3_TF'!B71:M71,"&gt;0")</f>
        <v/>
      </c>
      <c r="C71" s="5">
        <f>(1+'1_Data'!$L$8)/(1+B71)</f>
        <v/>
      </c>
      <c r="D71" s="9">
        <f>LN(C71)</f>
        <v/>
      </c>
      <c r="E71" s="9">
        <f>D71+1</f>
        <v/>
      </c>
    </row>
    <row r="72">
      <c r="A72" s="6">
        <f>'3_TF'!A72</f>
        <v/>
      </c>
      <c r="B72" s="5">
        <f>COUNTIF('3_TF'!B72:M72,"&gt;0")</f>
        <v/>
      </c>
      <c r="C72" s="5">
        <f>(1+'1_Data'!$L$8)/(1+B72)</f>
        <v/>
      </c>
      <c r="D72" s="9">
        <f>LN(C72)</f>
        <v/>
      </c>
      <c r="E72" s="9">
        <f>D72+1</f>
        <v/>
      </c>
    </row>
    <row r="73">
      <c r="A73" s="6">
        <f>'3_TF'!A73</f>
        <v/>
      </c>
      <c r="B73" s="5">
        <f>COUNTIF('3_TF'!B73:M73,"&gt;0")</f>
        <v/>
      </c>
      <c r="C73" s="5">
        <f>(1+'1_Data'!$L$8)/(1+B73)</f>
        <v/>
      </c>
      <c r="D73" s="9">
        <f>LN(C73)</f>
        <v/>
      </c>
      <c r="E73" s="9">
        <f>D73+1</f>
        <v/>
      </c>
    </row>
    <row r="74">
      <c r="A74" s="6">
        <f>'3_TF'!A74</f>
        <v/>
      </c>
      <c r="B74" s="5">
        <f>COUNTIF('3_TF'!B74:M74,"&gt;0")</f>
        <v/>
      </c>
      <c r="C74" s="5">
        <f>(1+'1_Data'!$L$8)/(1+B74)</f>
        <v/>
      </c>
      <c r="D74" s="9">
        <f>LN(C74)</f>
        <v/>
      </c>
      <c r="E74" s="9">
        <f>D74+1</f>
        <v/>
      </c>
    </row>
    <row r="75">
      <c r="A75" s="6">
        <f>'3_TF'!A75</f>
        <v/>
      </c>
      <c r="B75" s="5">
        <f>COUNTIF('3_TF'!B75:M75,"&gt;0")</f>
        <v/>
      </c>
      <c r="C75" s="5">
        <f>(1+'1_Data'!$L$8)/(1+B75)</f>
        <v/>
      </c>
      <c r="D75" s="9">
        <f>LN(C75)</f>
        <v/>
      </c>
      <c r="E75" s="9">
        <f>D75+1</f>
        <v/>
      </c>
    </row>
    <row r="76">
      <c r="A76" s="6">
        <f>'3_TF'!A76</f>
        <v/>
      </c>
      <c r="B76" s="5">
        <f>COUNTIF('3_TF'!B76:M76,"&gt;0")</f>
        <v/>
      </c>
      <c r="C76" s="5">
        <f>(1+'1_Data'!$L$8)/(1+B76)</f>
        <v/>
      </c>
      <c r="D76" s="9">
        <f>LN(C76)</f>
        <v/>
      </c>
      <c r="E76" s="9">
        <f>D76+1</f>
        <v/>
      </c>
    </row>
    <row r="77">
      <c r="A77" s="6">
        <f>'3_TF'!A77</f>
        <v/>
      </c>
      <c r="B77" s="5">
        <f>COUNTIF('3_TF'!B77:M77,"&gt;0")</f>
        <v/>
      </c>
      <c r="C77" s="5">
        <f>(1+'1_Data'!$L$8)/(1+B77)</f>
        <v/>
      </c>
      <c r="D77" s="9">
        <f>LN(C77)</f>
        <v/>
      </c>
      <c r="E77" s="9">
        <f>D77+1</f>
        <v/>
      </c>
    </row>
    <row r="78">
      <c r="A78" s="6">
        <f>'3_TF'!A78</f>
        <v/>
      </c>
      <c r="B78" s="5">
        <f>COUNTIF('3_TF'!B78:M78,"&gt;0")</f>
        <v/>
      </c>
      <c r="C78" s="5">
        <f>(1+'1_Data'!$L$8)/(1+B78)</f>
        <v/>
      </c>
      <c r="D78" s="9">
        <f>LN(C78)</f>
        <v/>
      </c>
      <c r="E78" s="9">
        <f>D78+1</f>
        <v/>
      </c>
    </row>
    <row r="79">
      <c r="A79" s="6">
        <f>'3_TF'!A79</f>
        <v/>
      </c>
      <c r="B79" s="5">
        <f>COUNTIF('3_TF'!B79:M79,"&gt;0")</f>
        <v/>
      </c>
      <c r="C79" s="5">
        <f>(1+'1_Data'!$L$8)/(1+B79)</f>
        <v/>
      </c>
      <c r="D79" s="9">
        <f>LN(C79)</f>
        <v/>
      </c>
      <c r="E79" s="9">
        <f>D79+1</f>
        <v/>
      </c>
    </row>
    <row r="80">
      <c r="A80" s="6">
        <f>'3_TF'!A80</f>
        <v/>
      </c>
      <c r="B80" s="5">
        <f>COUNTIF('3_TF'!B80:M80,"&gt;0")</f>
        <v/>
      </c>
      <c r="C80" s="5">
        <f>(1+'1_Data'!$L$8)/(1+B80)</f>
        <v/>
      </c>
      <c r="D80" s="9">
        <f>LN(C80)</f>
        <v/>
      </c>
      <c r="E80" s="9">
        <f>D80+1</f>
        <v/>
      </c>
    </row>
    <row r="81">
      <c r="A81" s="6">
        <f>'3_TF'!A81</f>
        <v/>
      </c>
      <c r="B81" s="5">
        <f>COUNTIF('3_TF'!B81:M81,"&gt;0")</f>
        <v/>
      </c>
      <c r="C81" s="5">
        <f>(1+'1_Data'!$L$8)/(1+B81)</f>
        <v/>
      </c>
      <c r="D81" s="9">
        <f>LN(C81)</f>
        <v/>
      </c>
      <c r="E81" s="9">
        <f>D81+1</f>
        <v/>
      </c>
    </row>
    <row r="82">
      <c r="A82" s="6">
        <f>'3_TF'!A82</f>
        <v/>
      </c>
      <c r="B82" s="5">
        <f>COUNTIF('3_TF'!B82:M82,"&gt;0")</f>
        <v/>
      </c>
      <c r="C82" s="5">
        <f>(1+'1_Data'!$L$8)/(1+B82)</f>
        <v/>
      </c>
      <c r="D82" s="9">
        <f>LN(C82)</f>
        <v/>
      </c>
      <c r="E82" s="9">
        <f>D82+1</f>
        <v/>
      </c>
    </row>
    <row r="83">
      <c r="A83" s="6">
        <f>'3_TF'!A83</f>
        <v/>
      </c>
      <c r="B83" s="5">
        <f>COUNTIF('3_TF'!B83:M83,"&gt;0")</f>
        <v/>
      </c>
      <c r="C83" s="5">
        <f>(1+'1_Data'!$L$8)/(1+B83)</f>
        <v/>
      </c>
      <c r="D83" s="9">
        <f>LN(C83)</f>
        <v/>
      </c>
      <c r="E83" s="9">
        <f>D83+1</f>
        <v/>
      </c>
    </row>
    <row r="84">
      <c r="A84" s="6">
        <f>'3_TF'!A84</f>
        <v/>
      </c>
      <c r="B84" s="5">
        <f>COUNTIF('3_TF'!B84:M84,"&gt;0")</f>
        <v/>
      </c>
      <c r="C84" s="5">
        <f>(1+'1_Data'!$L$8)/(1+B84)</f>
        <v/>
      </c>
      <c r="D84" s="9">
        <f>LN(C84)</f>
        <v/>
      </c>
      <c r="E84" s="9">
        <f>D84+1</f>
        <v/>
      </c>
    </row>
    <row r="85">
      <c r="A85" s="6">
        <f>'3_TF'!A85</f>
        <v/>
      </c>
      <c r="B85" s="5">
        <f>COUNTIF('3_TF'!B85:M85,"&gt;0")</f>
        <v/>
      </c>
      <c r="C85" s="5">
        <f>(1+'1_Data'!$L$8)/(1+B85)</f>
        <v/>
      </c>
      <c r="D85" s="9">
        <f>LN(C85)</f>
        <v/>
      </c>
      <c r="E85" s="9">
        <f>D85+1</f>
        <v/>
      </c>
    </row>
    <row r="86">
      <c r="A86" s="6">
        <f>'3_TF'!A86</f>
        <v/>
      </c>
      <c r="B86" s="5">
        <f>COUNTIF('3_TF'!B86:M86,"&gt;0")</f>
        <v/>
      </c>
      <c r="C86" s="5">
        <f>(1+'1_Data'!$L$8)/(1+B86)</f>
        <v/>
      </c>
      <c r="D86" s="9">
        <f>LN(C86)</f>
        <v/>
      </c>
      <c r="E86" s="9">
        <f>D86+1</f>
        <v/>
      </c>
    </row>
    <row r="87">
      <c r="A87" s="6">
        <f>'3_TF'!A87</f>
        <v/>
      </c>
      <c r="B87" s="5">
        <f>COUNTIF('3_TF'!B87:M87,"&gt;0")</f>
        <v/>
      </c>
      <c r="C87" s="5">
        <f>(1+'1_Data'!$L$8)/(1+B87)</f>
        <v/>
      </c>
      <c r="D87" s="9">
        <f>LN(C87)</f>
        <v/>
      </c>
      <c r="E87" s="9">
        <f>D87+1</f>
        <v/>
      </c>
    </row>
    <row r="88">
      <c r="A88" s="6">
        <f>'3_TF'!A88</f>
        <v/>
      </c>
      <c r="B88" s="5">
        <f>COUNTIF('3_TF'!B88:M88,"&gt;0")</f>
        <v/>
      </c>
      <c r="C88" s="5">
        <f>(1+'1_Data'!$L$8)/(1+B88)</f>
        <v/>
      </c>
      <c r="D88" s="9">
        <f>LN(C88)</f>
        <v/>
      </c>
      <c r="E88" s="9">
        <f>D88+1</f>
        <v/>
      </c>
    </row>
    <row r="89">
      <c r="A89" s="6">
        <f>'3_TF'!A89</f>
        <v/>
      </c>
      <c r="B89" s="5">
        <f>COUNTIF('3_TF'!B89:M89,"&gt;0")</f>
        <v/>
      </c>
      <c r="C89" s="5">
        <f>(1+'1_Data'!$L$8)/(1+B89)</f>
        <v/>
      </c>
      <c r="D89" s="9">
        <f>LN(C89)</f>
        <v/>
      </c>
      <c r="E89" s="9">
        <f>D89+1</f>
        <v/>
      </c>
    </row>
    <row r="90">
      <c r="A90" s="6">
        <f>'3_TF'!A90</f>
        <v/>
      </c>
      <c r="B90" s="5">
        <f>COUNTIF('3_TF'!B90:M90,"&gt;0")</f>
        <v/>
      </c>
      <c r="C90" s="5">
        <f>(1+'1_Data'!$L$8)/(1+B90)</f>
        <v/>
      </c>
      <c r="D90" s="9">
        <f>LN(C90)</f>
        <v/>
      </c>
      <c r="E90" s="9">
        <f>D90+1</f>
        <v/>
      </c>
    </row>
    <row r="91">
      <c r="A91" s="6">
        <f>'3_TF'!A91</f>
        <v/>
      </c>
      <c r="B91" s="5">
        <f>COUNTIF('3_TF'!B91:M91,"&gt;0")</f>
        <v/>
      </c>
      <c r="C91" s="5">
        <f>(1+'1_Data'!$L$8)/(1+B91)</f>
        <v/>
      </c>
      <c r="D91" s="9">
        <f>LN(C91)</f>
        <v/>
      </c>
      <c r="E91" s="9">
        <f>D91+1</f>
        <v/>
      </c>
    </row>
    <row r="92">
      <c r="A92" s="6">
        <f>'3_TF'!A92</f>
        <v/>
      </c>
      <c r="B92" s="5">
        <f>COUNTIF('3_TF'!B92:M92,"&gt;0")</f>
        <v/>
      </c>
      <c r="C92" s="5">
        <f>(1+'1_Data'!$L$8)/(1+B92)</f>
        <v/>
      </c>
      <c r="D92" s="9">
        <f>LN(C92)</f>
        <v/>
      </c>
      <c r="E92" s="9">
        <f>D92+1</f>
        <v/>
      </c>
    </row>
    <row r="93">
      <c r="A93" s="6">
        <f>'3_TF'!A93</f>
        <v/>
      </c>
      <c r="B93" s="5">
        <f>COUNTIF('3_TF'!B93:M93,"&gt;0")</f>
        <v/>
      </c>
      <c r="C93" s="5">
        <f>(1+'1_Data'!$L$8)/(1+B93)</f>
        <v/>
      </c>
      <c r="D93" s="9">
        <f>LN(C93)</f>
        <v/>
      </c>
      <c r="E93" s="9">
        <f>D93+1</f>
        <v/>
      </c>
    </row>
    <row r="94">
      <c r="A94" s="6">
        <f>'3_TF'!A94</f>
        <v/>
      </c>
      <c r="B94" s="5">
        <f>COUNTIF('3_TF'!B94:M94,"&gt;0")</f>
        <v/>
      </c>
      <c r="C94" s="5">
        <f>(1+'1_Data'!$L$8)/(1+B94)</f>
        <v/>
      </c>
      <c r="D94" s="9">
        <f>LN(C94)</f>
        <v/>
      </c>
      <c r="E94" s="9">
        <f>D94+1</f>
        <v/>
      </c>
    </row>
    <row r="95">
      <c r="A95" s="6">
        <f>'3_TF'!A95</f>
        <v/>
      </c>
      <c r="B95" s="5">
        <f>COUNTIF('3_TF'!B95:M95,"&gt;0")</f>
        <v/>
      </c>
      <c r="C95" s="5">
        <f>(1+'1_Data'!$L$8)/(1+B95)</f>
        <v/>
      </c>
      <c r="D95" s="9">
        <f>LN(C95)</f>
        <v/>
      </c>
      <c r="E95" s="9">
        <f>D95+1</f>
        <v/>
      </c>
    </row>
    <row r="96">
      <c r="A96" s="6">
        <f>'3_TF'!A96</f>
        <v/>
      </c>
      <c r="B96" s="5">
        <f>COUNTIF('3_TF'!B96:M96,"&gt;0")</f>
        <v/>
      </c>
      <c r="C96" s="5">
        <f>(1+'1_Data'!$L$8)/(1+B96)</f>
        <v/>
      </c>
      <c r="D96" s="9">
        <f>LN(C96)</f>
        <v/>
      </c>
      <c r="E96" s="9">
        <f>D96+1</f>
        <v/>
      </c>
    </row>
    <row r="97">
      <c r="A97" s="6">
        <f>'3_TF'!A97</f>
        <v/>
      </c>
      <c r="B97" s="5">
        <f>COUNTIF('3_TF'!B97:M97,"&gt;0")</f>
        <v/>
      </c>
      <c r="C97" s="5">
        <f>(1+'1_Data'!$L$8)/(1+B97)</f>
        <v/>
      </c>
      <c r="D97" s="9">
        <f>LN(C97)</f>
        <v/>
      </c>
      <c r="E97" s="9">
        <f>D97+1</f>
        <v/>
      </c>
    </row>
    <row r="98">
      <c r="A98" s="6">
        <f>'3_TF'!A98</f>
        <v/>
      </c>
      <c r="B98" s="5">
        <f>COUNTIF('3_TF'!B98:M98,"&gt;0")</f>
        <v/>
      </c>
      <c r="C98" s="5">
        <f>(1+'1_Data'!$L$8)/(1+B98)</f>
        <v/>
      </c>
      <c r="D98" s="9">
        <f>LN(C98)</f>
        <v/>
      </c>
      <c r="E98" s="9">
        <f>D98+1</f>
        <v/>
      </c>
    </row>
    <row r="99">
      <c r="A99" s="6">
        <f>'3_TF'!A99</f>
        <v/>
      </c>
      <c r="B99" s="5">
        <f>COUNTIF('3_TF'!B99:M99,"&gt;0")</f>
        <v/>
      </c>
      <c r="C99" s="5">
        <f>(1+'1_Data'!$L$8)/(1+B99)</f>
        <v/>
      </c>
      <c r="D99" s="9">
        <f>LN(C99)</f>
        <v/>
      </c>
      <c r="E99" s="9">
        <f>D99+1</f>
        <v/>
      </c>
    </row>
    <row r="100">
      <c r="A100" s="6">
        <f>'3_TF'!A100</f>
        <v/>
      </c>
      <c r="B100" s="5">
        <f>COUNTIF('3_TF'!B100:M100,"&gt;0")</f>
        <v/>
      </c>
      <c r="C100" s="5">
        <f>(1+'1_Data'!$L$8)/(1+B100)</f>
        <v/>
      </c>
      <c r="D100" s="9">
        <f>LN(C100)</f>
        <v/>
      </c>
      <c r="E100" s="9">
        <f>D100+1</f>
        <v/>
      </c>
    </row>
    <row r="101">
      <c r="A101" s="6">
        <f>'3_TF'!A101</f>
        <v/>
      </c>
      <c r="B101" s="5">
        <f>COUNTIF('3_TF'!B101:M101,"&gt;0")</f>
        <v/>
      </c>
      <c r="C101" s="5">
        <f>(1+'1_Data'!$L$8)/(1+B101)</f>
        <v/>
      </c>
      <c r="D101" s="9">
        <f>LN(C101)</f>
        <v/>
      </c>
      <c r="E101" s="9">
        <f>D101+1</f>
        <v/>
      </c>
    </row>
    <row r="102">
      <c r="A102" s="6">
        <f>'3_TF'!A102</f>
        <v/>
      </c>
      <c r="B102" s="5">
        <f>COUNTIF('3_TF'!B102:M102,"&gt;0")</f>
        <v/>
      </c>
      <c r="C102" s="5">
        <f>(1+'1_Data'!$L$8)/(1+B102)</f>
        <v/>
      </c>
      <c r="D102" s="9">
        <f>LN(C102)</f>
        <v/>
      </c>
      <c r="E102" s="9">
        <f>D102+1</f>
        <v/>
      </c>
    </row>
    <row r="103">
      <c r="A103" s="6">
        <f>'3_TF'!A103</f>
        <v/>
      </c>
      <c r="B103" s="5">
        <f>COUNTIF('3_TF'!B103:M103,"&gt;0")</f>
        <v/>
      </c>
      <c r="C103" s="5">
        <f>(1+'1_Data'!$L$8)/(1+B103)</f>
        <v/>
      </c>
      <c r="D103" s="9">
        <f>LN(C103)</f>
        <v/>
      </c>
      <c r="E103" s="9">
        <f>D103+1</f>
        <v/>
      </c>
    </row>
    <row r="104">
      <c r="A104" s="6">
        <f>'3_TF'!A104</f>
        <v/>
      </c>
      <c r="B104" s="5">
        <f>COUNTIF('3_TF'!B104:M104,"&gt;0")</f>
        <v/>
      </c>
      <c r="C104" s="5">
        <f>(1+'1_Data'!$L$8)/(1+B104)</f>
        <v/>
      </c>
      <c r="D104" s="9">
        <f>LN(C104)</f>
        <v/>
      </c>
      <c r="E104" s="9">
        <f>D104+1</f>
        <v/>
      </c>
    </row>
    <row r="105">
      <c r="A105" s="6">
        <f>'3_TF'!A105</f>
        <v/>
      </c>
      <c r="B105" s="5">
        <f>COUNTIF('3_TF'!B105:M105,"&gt;0")</f>
        <v/>
      </c>
      <c r="C105" s="5">
        <f>(1+'1_Data'!$L$8)/(1+B105)</f>
        <v/>
      </c>
      <c r="D105" s="9">
        <f>LN(C105)</f>
        <v/>
      </c>
      <c r="E105" s="9">
        <f>D105+1</f>
        <v/>
      </c>
    </row>
    <row r="106">
      <c r="A106" s="6">
        <f>'3_TF'!A106</f>
        <v/>
      </c>
      <c r="B106" s="5">
        <f>COUNTIF('3_TF'!B106:M106,"&gt;0")</f>
        <v/>
      </c>
      <c r="C106" s="5">
        <f>(1+'1_Data'!$L$8)/(1+B106)</f>
        <v/>
      </c>
      <c r="D106" s="9">
        <f>LN(C106)</f>
        <v/>
      </c>
      <c r="E106" s="9">
        <f>D106+1</f>
        <v/>
      </c>
    </row>
    <row r="107">
      <c r="A107" s="6">
        <f>'3_TF'!A107</f>
        <v/>
      </c>
      <c r="B107" s="5">
        <f>COUNTIF('3_TF'!B107:M107,"&gt;0")</f>
        <v/>
      </c>
      <c r="C107" s="5">
        <f>(1+'1_Data'!$L$8)/(1+B107)</f>
        <v/>
      </c>
      <c r="D107" s="9">
        <f>LN(C107)</f>
        <v/>
      </c>
      <c r="E107" s="9">
        <f>D107+1</f>
        <v/>
      </c>
    </row>
    <row r="108">
      <c r="A108" s="6">
        <f>'3_TF'!A108</f>
        <v/>
      </c>
      <c r="B108" s="5">
        <f>COUNTIF('3_TF'!B108:M108,"&gt;0")</f>
        <v/>
      </c>
      <c r="C108" s="5">
        <f>(1+'1_Data'!$L$8)/(1+B108)</f>
        <v/>
      </c>
      <c r="D108" s="9">
        <f>LN(C108)</f>
        <v/>
      </c>
      <c r="E108" s="9">
        <f>D108+1</f>
        <v/>
      </c>
    </row>
    <row r="109">
      <c r="A109" s="6">
        <f>'3_TF'!A109</f>
        <v/>
      </c>
      <c r="B109" s="5">
        <f>COUNTIF('3_TF'!B109:M109,"&gt;0")</f>
        <v/>
      </c>
      <c r="C109" s="5">
        <f>(1+'1_Data'!$L$8)/(1+B109)</f>
        <v/>
      </c>
      <c r="D109" s="9">
        <f>LN(C109)</f>
        <v/>
      </c>
      <c r="E109" s="9">
        <f>D109+1</f>
        <v/>
      </c>
    </row>
    <row r="110">
      <c r="A110" s="6">
        <f>'3_TF'!A110</f>
        <v/>
      </c>
      <c r="B110" s="5">
        <f>COUNTIF('3_TF'!B110:M110,"&gt;0")</f>
        <v/>
      </c>
      <c r="C110" s="5">
        <f>(1+'1_Data'!$L$8)/(1+B110)</f>
        <v/>
      </c>
      <c r="D110" s="9">
        <f>LN(C110)</f>
        <v/>
      </c>
      <c r="E110" s="9">
        <f>D110+1</f>
        <v/>
      </c>
    </row>
    <row r="111">
      <c r="A111" s="6">
        <f>'3_TF'!A111</f>
        <v/>
      </c>
      <c r="B111" s="5">
        <f>COUNTIF('3_TF'!B111:M111,"&gt;0")</f>
        <v/>
      </c>
      <c r="C111" s="5">
        <f>(1+'1_Data'!$L$8)/(1+B111)</f>
        <v/>
      </c>
      <c r="D111" s="9">
        <f>LN(C111)</f>
        <v/>
      </c>
      <c r="E111" s="9">
        <f>D111+1</f>
        <v/>
      </c>
    </row>
    <row r="112">
      <c r="A112" s="6">
        <f>'3_TF'!A112</f>
        <v/>
      </c>
      <c r="B112" s="5">
        <f>COUNTIF('3_TF'!B112:M112,"&gt;0")</f>
        <v/>
      </c>
      <c r="C112" s="5">
        <f>(1+'1_Data'!$L$8)/(1+B112)</f>
        <v/>
      </c>
      <c r="D112" s="9">
        <f>LN(C112)</f>
        <v/>
      </c>
      <c r="E112" s="9">
        <f>D112+1</f>
        <v/>
      </c>
    </row>
    <row r="113">
      <c r="A113" s="6">
        <f>'3_TF'!A113</f>
        <v/>
      </c>
      <c r="B113" s="5">
        <f>COUNTIF('3_TF'!B113:M113,"&gt;0")</f>
        <v/>
      </c>
      <c r="C113" s="5">
        <f>(1+'1_Data'!$L$8)/(1+B113)</f>
        <v/>
      </c>
      <c r="D113" s="9">
        <f>LN(C113)</f>
        <v/>
      </c>
      <c r="E113" s="9">
        <f>D113+1</f>
        <v/>
      </c>
    </row>
    <row r="114">
      <c r="A114" s="6">
        <f>'3_TF'!A114</f>
        <v/>
      </c>
      <c r="B114" s="5">
        <f>COUNTIF('3_TF'!B114:M114,"&gt;0")</f>
        <v/>
      </c>
      <c r="C114" s="5">
        <f>(1+'1_Data'!$L$8)/(1+B114)</f>
        <v/>
      </c>
      <c r="D114" s="9">
        <f>LN(C114)</f>
        <v/>
      </c>
      <c r="E114" s="9">
        <f>D114+1</f>
        <v/>
      </c>
    </row>
    <row r="115">
      <c r="A115" s="6">
        <f>'3_TF'!A115</f>
        <v/>
      </c>
      <c r="B115" s="5">
        <f>COUNTIF('3_TF'!B115:M115,"&gt;0")</f>
        <v/>
      </c>
      <c r="C115" s="5">
        <f>(1+'1_Data'!$L$8)/(1+B115)</f>
        <v/>
      </c>
      <c r="D115" s="9">
        <f>LN(C115)</f>
        <v/>
      </c>
      <c r="E115" s="9">
        <f>D115+1</f>
        <v/>
      </c>
    </row>
    <row r="116">
      <c r="A116" s="6">
        <f>'3_TF'!A116</f>
        <v/>
      </c>
      <c r="B116" s="5">
        <f>COUNTIF('3_TF'!B116:M116,"&gt;0")</f>
        <v/>
      </c>
      <c r="C116" s="5">
        <f>(1+'1_Data'!$L$8)/(1+B116)</f>
        <v/>
      </c>
      <c r="D116" s="9">
        <f>LN(C116)</f>
        <v/>
      </c>
      <c r="E116" s="9">
        <f>D116+1</f>
        <v/>
      </c>
    </row>
    <row r="117">
      <c r="A117" s="6">
        <f>'3_TF'!A117</f>
        <v/>
      </c>
      <c r="B117" s="5">
        <f>COUNTIF('3_TF'!B117:M117,"&gt;0")</f>
        <v/>
      </c>
      <c r="C117" s="5">
        <f>(1+'1_Data'!$L$8)/(1+B117)</f>
        <v/>
      </c>
      <c r="D117" s="9">
        <f>LN(C117)</f>
        <v/>
      </c>
      <c r="E117" s="9">
        <f>D117+1</f>
        <v/>
      </c>
    </row>
    <row r="118">
      <c r="A118" s="6">
        <f>'3_TF'!A118</f>
        <v/>
      </c>
      <c r="B118" s="5">
        <f>COUNTIF('3_TF'!B118:M118,"&gt;0")</f>
        <v/>
      </c>
      <c r="C118" s="5">
        <f>(1+'1_Data'!$L$8)/(1+B118)</f>
        <v/>
      </c>
      <c r="D118" s="9">
        <f>LN(C118)</f>
        <v/>
      </c>
      <c r="E118" s="9">
        <f>D118+1</f>
        <v/>
      </c>
    </row>
    <row r="119">
      <c r="A119" s="6">
        <f>'3_TF'!A119</f>
        <v/>
      </c>
      <c r="B119" s="5">
        <f>COUNTIF('3_TF'!B119:M119,"&gt;0")</f>
        <v/>
      </c>
      <c r="C119" s="5">
        <f>(1+'1_Data'!$L$8)/(1+B119)</f>
        <v/>
      </c>
      <c r="D119" s="9">
        <f>LN(C119)</f>
        <v/>
      </c>
      <c r="E119" s="9">
        <f>D119+1</f>
        <v/>
      </c>
    </row>
    <row r="120">
      <c r="A120" s="6">
        <f>'3_TF'!A120</f>
        <v/>
      </c>
      <c r="B120" s="5">
        <f>COUNTIF('3_TF'!B120:M120,"&gt;0")</f>
        <v/>
      </c>
      <c r="C120" s="5">
        <f>(1+'1_Data'!$L$8)/(1+B120)</f>
        <v/>
      </c>
      <c r="D120" s="9">
        <f>LN(C120)</f>
        <v/>
      </c>
      <c r="E120" s="9">
        <f>D120+1</f>
        <v/>
      </c>
    </row>
    <row r="121">
      <c r="A121" s="6">
        <f>'3_TF'!A121</f>
        <v/>
      </c>
      <c r="B121" s="5">
        <f>COUNTIF('3_TF'!B121:M121,"&gt;0")</f>
        <v/>
      </c>
      <c r="C121" s="5">
        <f>(1+'1_Data'!$L$8)/(1+B121)</f>
        <v/>
      </c>
      <c r="D121" s="9">
        <f>LN(C121)</f>
        <v/>
      </c>
      <c r="E121" s="9">
        <f>D121+1</f>
        <v/>
      </c>
    </row>
    <row r="122">
      <c r="A122" s="6">
        <f>'3_TF'!A122</f>
        <v/>
      </c>
      <c r="B122" s="5">
        <f>COUNTIF('3_TF'!B122:M122,"&gt;0")</f>
        <v/>
      </c>
      <c r="C122" s="5">
        <f>(1+'1_Data'!$L$8)/(1+B122)</f>
        <v/>
      </c>
      <c r="D122" s="9">
        <f>LN(C122)</f>
        <v/>
      </c>
      <c r="E122" s="9">
        <f>D122+1</f>
        <v/>
      </c>
    </row>
    <row r="123">
      <c r="A123" s="6">
        <f>'3_TF'!A123</f>
        <v/>
      </c>
      <c r="B123" s="5">
        <f>COUNTIF('3_TF'!B123:M123,"&gt;0")</f>
        <v/>
      </c>
      <c r="C123" s="5">
        <f>(1+'1_Data'!$L$8)/(1+B123)</f>
        <v/>
      </c>
      <c r="D123" s="9">
        <f>LN(C123)</f>
        <v/>
      </c>
      <c r="E123" s="9">
        <f>D123+1</f>
        <v/>
      </c>
    </row>
    <row r="124">
      <c r="A124" s="6">
        <f>'3_TF'!A124</f>
        <v/>
      </c>
      <c r="B124" s="5">
        <f>COUNTIF('3_TF'!B124:M124,"&gt;0")</f>
        <v/>
      </c>
      <c r="C124" s="5">
        <f>(1+'1_Data'!$L$8)/(1+B124)</f>
        <v/>
      </c>
      <c r="D124" s="9">
        <f>LN(C124)</f>
        <v/>
      </c>
      <c r="E124" s="9">
        <f>D124+1</f>
        <v/>
      </c>
    </row>
    <row r="125">
      <c r="A125" s="6">
        <f>'3_TF'!A125</f>
        <v/>
      </c>
      <c r="B125" s="5">
        <f>COUNTIF('3_TF'!B125:M125,"&gt;0")</f>
        <v/>
      </c>
      <c r="C125" s="5">
        <f>(1+'1_Data'!$L$8)/(1+B125)</f>
        <v/>
      </c>
      <c r="D125" s="9">
        <f>LN(C125)</f>
        <v/>
      </c>
      <c r="E125" s="9">
        <f>D125+1</f>
        <v/>
      </c>
    </row>
    <row r="126">
      <c r="A126" s="6">
        <f>'3_TF'!A126</f>
        <v/>
      </c>
      <c r="B126" s="5">
        <f>COUNTIF('3_TF'!B126:M126,"&gt;0")</f>
        <v/>
      </c>
      <c r="C126" s="5">
        <f>(1+'1_Data'!$L$8)/(1+B126)</f>
        <v/>
      </c>
      <c r="D126" s="9">
        <f>LN(C126)</f>
        <v/>
      </c>
      <c r="E126" s="9">
        <f>D126+1</f>
        <v/>
      </c>
    </row>
    <row r="127">
      <c r="A127" s="6">
        <f>'3_TF'!A127</f>
        <v/>
      </c>
      <c r="B127" s="5">
        <f>COUNTIF('3_TF'!B127:M127,"&gt;0")</f>
        <v/>
      </c>
      <c r="C127" s="5">
        <f>(1+'1_Data'!$L$8)/(1+B127)</f>
        <v/>
      </c>
      <c r="D127" s="9">
        <f>LN(C127)</f>
        <v/>
      </c>
      <c r="E127" s="9">
        <f>D127+1</f>
        <v/>
      </c>
    </row>
    <row r="128">
      <c r="A128" s="6">
        <f>'3_TF'!A128</f>
        <v/>
      </c>
      <c r="B128" s="5">
        <f>COUNTIF('3_TF'!B128:M128,"&gt;0")</f>
        <v/>
      </c>
      <c r="C128" s="5">
        <f>(1+'1_Data'!$L$8)/(1+B128)</f>
        <v/>
      </c>
      <c r="D128" s="9">
        <f>LN(C128)</f>
        <v/>
      </c>
      <c r="E128" s="9">
        <f>D128+1</f>
        <v/>
      </c>
    </row>
    <row r="129">
      <c r="A129" s="6">
        <f>'3_TF'!A129</f>
        <v/>
      </c>
      <c r="B129" s="5">
        <f>COUNTIF('3_TF'!B129:M129,"&gt;0")</f>
        <v/>
      </c>
      <c r="C129" s="5">
        <f>(1+'1_Data'!$L$8)/(1+B129)</f>
        <v/>
      </c>
      <c r="D129" s="9">
        <f>LN(C129)</f>
        <v/>
      </c>
      <c r="E129" s="9">
        <f>D129+1</f>
        <v/>
      </c>
    </row>
    <row r="130">
      <c r="A130" s="6">
        <f>'3_TF'!A130</f>
        <v/>
      </c>
      <c r="B130" s="5">
        <f>COUNTIF('3_TF'!B130:M130,"&gt;0")</f>
        <v/>
      </c>
      <c r="C130" s="5">
        <f>(1+'1_Data'!$L$8)/(1+B130)</f>
        <v/>
      </c>
      <c r="D130" s="9">
        <f>LN(C130)</f>
        <v/>
      </c>
      <c r="E130" s="9">
        <f>D130+1</f>
        <v/>
      </c>
    </row>
    <row r="131">
      <c r="A131" s="6">
        <f>'3_TF'!A131</f>
        <v/>
      </c>
      <c r="B131" s="5">
        <f>COUNTIF('3_TF'!B131:M131,"&gt;0")</f>
        <v/>
      </c>
      <c r="C131" s="5">
        <f>(1+'1_Data'!$L$8)/(1+B131)</f>
        <v/>
      </c>
      <c r="D131" s="9">
        <f>LN(C131)</f>
        <v/>
      </c>
      <c r="E131" s="9">
        <f>D131+1</f>
        <v/>
      </c>
    </row>
    <row r="132">
      <c r="A132" s="6">
        <f>'3_TF'!A132</f>
        <v/>
      </c>
      <c r="B132" s="5">
        <f>COUNTIF('3_TF'!B132:M132,"&gt;0")</f>
        <v/>
      </c>
      <c r="C132" s="5">
        <f>(1+'1_Data'!$L$8)/(1+B132)</f>
        <v/>
      </c>
      <c r="D132" s="9">
        <f>LN(C132)</f>
        <v/>
      </c>
      <c r="E132" s="9">
        <f>D132+1</f>
        <v/>
      </c>
    </row>
    <row r="133">
      <c r="A133" s="6">
        <f>'3_TF'!A133</f>
        <v/>
      </c>
      <c r="B133" s="5">
        <f>COUNTIF('3_TF'!B133:M133,"&gt;0")</f>
        <v/>
      </c>
      <c r="C133" s="5">
        <f>(1+'1_Data'!$L$8)/(1+B133)</f>
        <v/>
      </c>
      <c r="D133" s="9">
        <f>LN(C133)</f>
        <v/>
      </c>
      <c r="E133" s="9">
        <f>D133+1</f>
        <v/>
      </c>
    </row>
    <row r="134">
      <c r="A134" s="6">
        <f>'3_TF'!A134</f>
        <v/>
      </c>
      <c r="B134" s="5">
        <f>COUNTIF('3_TF'!B134:M134,"&gt;0")</f>
        <v/>
      </c>
      <c r="C134" s="5">
        <f>(1+'1_Data'!$L$8)/(1+B134)</f>
        <v/>
      </c>
      <c r="D134" s="9">
        <f>LN(C134)</f>
        <v/>
      </c>
      <c r="E134" s="9">
        <f>D134+1</f>
        <v/>
      </c>
    </row>
    <row r="135">
      <c r="A135" s="6">
        <f>'3_TF'!A135</f>
        <v/>
      </c>
      <c r="B135" s="5">
        <f>COUNTIF('3_TF'!B135:M135,"&gt;0")</f>
        <v/>
      </c>
      <c r="C135" s="5">
        <f>(1+'1_Data'!$L$8)/(1+B135)</f>
        <v/>
      </c>
      <c r="D135" s="9">
        <f>LN(C135)</f>
        <v/>
      </c>
      <c r="E135" s="9">
        <f>D135+1</f>
        <v/>
      </c>
    </row>
    <row r="136">
      <c r="A136" s="6">
        <f>'3_TF'!A136</f>
        <v/>
      </c>
      <c r="B136" s="5">
        <f>COUNTIF('3_TF'!B136:M136,"&gt;0")</f>
        <v/>
      </c>
      <c r="C136" s="5">
        <f>(1+'1_Data'!$L$8)/(1+B136)</f>
        <v/>
      </c>
      <c r="D136" s="9">
        <f>LN(C136)</f>
        <v/>
      </c>
      <c r="E136" s="9">
        <f>D136+1</f>
        <v/>
      </c>
    </row>
    <row r="137">
      <c r="A137" s="6">
        <f>'3_TF'!A137</f>
        <v/>
      </c>
      <c r="B137" s="5">
        <f>COUNTIF('3_TF'!B137:M137,"&gt;0")</f>
        <v/>
      </c>
      <c r="C137" s="5">
        <f>(1+'1_Data'!$L$8)/(1+B137)</f>
        <v/>
      </c>
      <c r="D137" s="9">
        <f>LN(C137)</f>
        <v/>
      </c>
      <c r="E137" s="9">
        <f>D137+1</f>
        <v/>
      </c>
    </row>
    <row r="138">
      <c r="A138" s="6">
        <f>'3_TF'!A138</f>
        <v/>
      </c>
      <c r="B138" s="5">
        <f>COUNTIF('3_TF'!B138:M138,"&gt;0")</f>
        <v/>
      </c>
      <c r="C138" s="5">
        <f>(1+'1_Data'!$L$8)/(1+B138)</f>
        <v/>
      </c>
      <c r="D138" s="9">
        <f>LN(C138)</f>
        <v/>
      </c>
      <c r="E138" s="9">
        <f>D138+1</f>
        <v/>
      </c>
    </row>
    <row r="139">
      <c r="A139" s="6">
        <f>'3_TF'!A139</f>
        <v/>
      </c>
      <c r="B139" s="5">
        <f>COUNTIF('3_TF'!B139:M139,"&gt;0")</f>
        <v/>
      </c>
      <c r="C139" s="5">
        <f>(1+'1_Data'!$L$8)/(1+B139)</f>
        <v/>
      </c>
      <c r="D139" s="9">
        <f>LN(C139)</f>
        <v/>
      </c>
      <c r="E139" s="9">
        <f>D139+1</f>
        <v/>
      </c>
    </row>
    <row r="140">
      <c r="A140" s="6">
        <f>'3_TF'!A140</f>
        <v/>
      </c>
      <c r="B140" s="5">
        <f>COUNTIF('3_TF'!B140:M140,"&gt;0")</f>
        <v/>
      </c>
      <c r="C140" s="5">
        <f>(1+'1_Data'!$L$8)/(1+B140)</f>
        <v/>
      </c>
      <c r="D140" s="9">
        <f>LN(C140)</f>
        <v/>
      </c>
      <c r="E140" s="9">
        <f>D140+1</f>
        <v/>
      </c>
    </row>
    <row r="141">
      <c r="A141" s="6">
        <f>'3_TF'!A141</f>
        <v/>
      </c>
      <c r="B141" s="5">
        <f>COUNTIF('3_TF'!B141:M141,"&gt;0")</f>
        <v/>
      </c>
      <c r="C141" s="5">
        <f>(1+'1_Data'!$L$8)/(1+B141)</f>
        <v/>
      </c>
      <c r="D141" s="9">
        <f>LN(C141)</f>
        <v/>
      </c>
      <c r="E141" s="9">
        <f>D141+1</f>
        <v/>
      </c>
    </row>
    <row r="142">
      <c r="A142" s="6">
        <f>'3_TF'!A142</f>
        <v/>
      </c>
      <c r="B142" s="5">
        <f>COUNTIF('3_TF'!B142:M142,"&gt;0")</f>
        <v/>
      </c>
      <c r="C142" s="5">
        <f>(1+'1_Data'!$L$8)/(1+B142)</f>
        <v/>
      </c>
      <c r="D142" s="9">
        <f>LN(C142)</f>
        <v/>
      </c>
      <c r="E142" s="9">
        <f>D142+1</f>
        <v/>
      </c>
    </row>
    <row r="143">
      <c r="A143" s="6">
        <f>'3_TF'!A143</f>
        <v/>
      </c>
      <c r="B143" s="5">
        <f>COUNTIF('3_TF'!B143:M143,"&gt;0")</f>
        <v/>
      </c>
      <c r="C143" s="5">
        <f>(1+'1_Data'!$L$8)/(1+B143)</f>
        <v/>
      </c>
      <c r="D143" s="9">
        <f>LN(C143)</f>
        <v/>
      </c>
      <c r="E143" s="9">
        <f>D143+1</f>
        <v/>
      </c>
    </row>
    <row r="144">
      <c r="A144" s="6">
        <f>'3_TF'!A144</f>
        <v/>
      </c>
      <c r="B144" s="5">
        <f>COUNTIF('3_TF'!B144:M144,"&gt;0")</f>
        <v/>
      </c>
      <c r="C144" s="5">
        <f>(1+'1_Data'!$L$8)/(1+B144)</f>
        <v/>
      </c>
      <c r="D144" s="9">
        <f>LN(C144)</f>
        <v/>
      </c>
      <c r="E144" s="9">
        <f>D144+1</f>
        <v/>
      </c>
    </row>
    <row r="145">
      <c r="A145" s="6">
        <f>'3_TF'!A145</f>
        <v/>
      </c>
      <c r="B145" s="5">
        <f>COUNTIF('3_TF'!B145:M145,"&gt;0")</f>
        <v/>
      </c>
      <c r="C145" s="5">
        <f>(1+'1_Data'!$L$8)/(1+B145)</f>
        <v/>
      </c>
      <c r="D145" s="9">
        <f>LN(C145)</f>
        <v/>
      </c>
      <c r="E145" s="9">
        <f>D145+1</f>
        <v/>
      </c>
    </row>
    <row r="146">
      <c r="A146" s="6">
        <f>'3_TF'!A146</f>
        <v/>
      </c>
      <c r="B146" s="5">
        <f>COUNTIF('3_TF'!B146:M146,"&gt;0")</f>
        <v/>
      </c>
      <c r="C146" s="5">
        <f>(1+'1_Data'!$L$8)/(1+B146)</f>
        <v/>
      </c>
      <c r="D146" s="9">
        <f>LN(C146)</f>
        <v/>
      </c>
      <c r="E146" s="9">
        <f>D146+1</f>
        <v/>
      </c>
    </row>
    <row r="147">
      <c r="A147" s="6">
        <f>'3_TF'!A147</f>
        <v/>
      </c>
      <c r="B147" s="5">
        <f>COUNTIF('3_TF'!B147:M147,"&gt;0")</f>
        <v/>
      </c>
      <c r="C147" s="5">
        <f>(1+'1_Data'!$L$8)/(1+B147)</f>
        <v/>
      </c>
      <c r="D147" s="9">
        <f>LN(C147)</f>
        <v/>
      </c>
      <c r="E147" s="9">
        <f>D147+1</f>
        <v/>
      </c>
    </row>
    <row r="148">
      <c r="A148" s="6">
        <f>'3_TF'!A148</f>
        <v/>
      </c>
      <c r="B148" s="5">
        <f>COUNTIF('3_TF'!B148:M148,"&gt;0")</f>
        <v/>
      </c>
      <c r="C148" s="5">
        <f>(1+'1_Data'!$L$8)/(1+B148)</f>
        <v/>
      </c>
      <c r="D148" s="9">
        <f>LN(C148)</f>
        <v/>
      </c>
      <c r="E148" s="9">
        <f>D148+1</f>
        <v/>
      </c>
    </row>
    <row r="149">
      <c r="A149" s="6">
        <f>'3_TF'!A149</f>
        <v/>
      </c>
      <c r="B149" s="5">
        <f>COUNTIF('3_TF'!B149:M149,"&gt;0")</f>
        <v/>
      </c>
      <c r="C149" s="5">
        <f>(1+'1_Data'!$L$8)/(1+B149)</f>
        <v/>
      </c>
      <c r="D149" s="9">
        <f>LN(C149)</f>
        <v/>
      </c>
      <c r="E149" s="9">
        <f>D149+1</f>
        <v/>
      </c>
    </row>
    <row r="150">
      <c r="A150" s="6">
        <f>'3_TF'!A150</f>
        <v/>
      </c>
      <c r="B150" s="5">
        <f>COUNTIF('3_TF'!B150:M150,"&gt;0")</f>
        <v/>
      </c>
      <c r="C150" s="5">
        <f>(1+'1_Data'!$L$8)/(1+B150)</f>
        <v/>
      </c>
      <c r="D150" s="9">
        <f>LN(C150)</f>
        <v/>
      </c>
      <c r="E150" s="9">
        <f>D150+1</f>
        <v/>
      </c>
    </row>
    <row r="151">
      <c r="A151" s="6">
        <f>'3_TF'!A151</f>
        <v/>
      </c>
      <c r="B151" s="5">
        <f>COUNTIF('3_TF'!B151:M151,"&gt;0")</f>
        <v/>
      </c>
      <c r="C151" s="5">
        <f>(1+'1_Data'!$L$8)/(1+B151)</f>
        <v/>
      </c>
      <c r="D151" s="9">
        <f>LN(C151)</f>
        <v/>
      </c>
      <c r="E151" s="9">
        <f>D151+1</f>
        <v/>
      </c>
    </row>
    <row r="152">
      <c r="A152" s="6">
        <f>'3_TF'!A152</f>
        <v/>
      </c>
      <c r="B152" s="5">
        <f>COUNTIF('3_TF'!B152:M152,"&gt;0")</f>
        <v/>
      </c>
      <c r="C152" s="5">
        <f>(1+'1_Data'!$L$8)/(1+B152)</f>
        <v/>
      </c>
      <c r="D152" s="9">
        <f>LN(C152)</f>
        <v/>
      </c>
      <c r="E152" s="9">
        <f>D152+1</f>
        <v/>
      </c>
    </row>
    <row r="153">
      <c r="A153" s="6">
        <f>'3_TF'!A153</f>
        <v/>
      </c>
      <c r="B153" s="5">
        <f>COUNTIF('3_TF'!B153:M153,"&gt;0")</f>
        <v/>
      </c>
      <c r="C153" s="5">
        <f>(1+'1_Data'!$L$8)/(1+B153)</f>
        <v/>
      </c>
      <c r="D153" s="9">
        <f>LN(C153)</f>
        <v/>
      </c>
      <c r="E153" s="9">
        <f>D153+1</f>
        <v/>
      </c>
    </row>
    <row r="154">
      <c r="A154" s="6">
        <f>'3_TF'!A154</f>
        <v/>
      </c>
      <c r="B154" s="5">
        <f>COUNTIF('3_TF'!B154:M154,"&gt;0")</f>
        <v/>
      </c>
      <c r="C154" s="5">
        <f>(1+'1_Data'!$L$8)/(1+B154)</f>
        <v/>
      </c>
      <c r="D154" s="9">
        <f>LN(C154)</f>
        <v/>
      </c>
      <c r="E154" s="9">
        <f>D154+1</f>
        <v/>
      </c>
    </row>
    <row r="155">
      <c r="A155" s="6">
        <f>'3_TF'!A155</f>
        <v/>
      </c>
      <c r="B155" s="5">
        <f>COUNTIF('3_TF'!B155:M155,"&gt;0")</f>
        <v/>
      </c>
      <c r="C155" s="5">
        <f>(1+'1_Data'!$L$8)/(1+B155)</f>
        <v/>
      </c>
      <c r="D155" s="9">
        <f>LN(C155)</f>
        <v/>
      </c>
      <c r="E155" s="9">
        <f>D155+1</f>
        <v/>
      </c>
    </row>
    <row r="156">
      <c r="A156" s="6">
        <f>'3_TF'!A156</f>
        <v/>
      </c>
      <c r="B156" s="5">
        <f>COUNTIF('3_TF'!B156:M156,"&gt;0")</f>
        <v/>
      </c>
      <c r="C156" s="5">
        <f>(1+'1_Data'!$L$8)/(1+B156)</f>
        <v/>
      </c>
      <c r="D156" s="9">
        <f>LN(C156)</f>
        <v/>
      </c>
      <c r="E156" s="9">
        <f>D156+1</f>
        <v/>
      </c>
    </row>
    <row r="157">
      <c r="A157" s="6">
        <f>'3_TF'!A157</f>
        <v/>
      </c>
      <c r="B157" s="5">
        <f>COUNTIF('3_TF'!B157:M157,"&gt;0")</f>
        <v/>
      </c>
      <c r="C157" s="5">
        <f>(1+'1_Data'!$L$8)/(1+B157)</f>
        <v/>
      </c>
      <c r="D157" s="9">
        <f>LN(C157)</f>
        <v/>
      </c>
      <c r="E157" s="9">
        <f>D157+1</f>
        <v/>
      </c>
    </row>
    <row r="158">
      <c r="A158" s="6">
        <f>'3_TF'!A158</f>
        <v/>
      </c>
      <c r="B158" s="5">
        <f>COUNTIF('3_TF'!B158:M158,"&gt;0")</f>
        <v/>
      </c>
      <c r="C158" s="5">
        <f>(1+'1_Data'!$L$8)/(1+B158)</f>
        <v/>
      </c>
      <c r="D158" s="9">
        <f>LN(C158)</f>
        <v/>
      </c>
      <c r="E158" s="9">
        <f>D158+1</f>
        <v/>
      </c>
    </row>
    <row r="159">
      <c r="A159" s="6">
        <f>'3_TF'!A159</f>
        <v/>
      </c>
      <c r="B159" s="5">
        <f>COUNTIF('3_TF'!B159:M159,"&gt;0")</f>
        <v/>
      </c>
      <c r="C159" s="5">
        <f>(1+'1_Data'!$L$8)/(1+B159)</f>
        <v/>
      </c>
      <c r="D159" s="9">
        <f>LN(C159)</f>
        <v/>
      </c>
      <c r="E159" s="9">
        <f>D159+1</f>
        <v/>
      </c>
    </row>
    <row r="160">
      <c r="A160" s="6">
        <f>'3_TF'!A160</f>
        <v/>
      </c>
      <c r="B160" s="5">
        <f>COUNTIF('3_TF'!B160:M160,"&gt;0")</f>
        <v/>
      </c>
      <c r="C160" s="5">
        <f>(1+'1_Data'!$L$8)/(1+B160)</f>
        <v/>
      </c>
      <c r="D160" s="9">
        <f>LN(C160)</f>
        <v/>
      </c>
      <c r="E160" s="9">
        <f>D160+1</f>
        <v/>
      </c>
    </row>
    <row r="161">
      <c r="A161" s="6">
        <f>'3_TF'!A161</f>
        <v/>
      </c>
      <c r="B161" s="5">
        <f>COUNTIF('3_TF'!B161:M161,"&gt;0")</f>
        <v/>
      </c>
      <c r="C161" s="5">
        <f>(1+'1_Data'!$L$8)/(1+B161)</f>
        <v/>
      </c>
      <c r="D161" s="9">
        <f>LN(C161)</f>
        <v/>
      </c>
      <c r="E161" s="9">
        <f>D161+1</f>
        <v/>
      </c>
    </row>
    <row r="162">
      <c r="A162" s="6">
        <f>'3_TF'!A162</f>
        <v/>
      </c>
      <c r="B162" s="5">
        <f>COUNTIF('3_TF'!B162:M162,"&gt;0")</f>
        <v/>
      </c>
      <c r="C162" s="5">
        <f>(1+'1_Data'!$L$8)/(1+B162)</f>
        <v/>
      </c>
      <c r="D162" s="9">
        <f>LN(C162)</f>
        <v/>
      </c>
      <c r="E162" s="9">
        <f>D162+1</f>
        <v/>
      </c>
    </row>
    <row r="163">
      <c r="A163" s="6">
        <f>'3_TF'!A163</f>
        <v/>
      </c>
      <c r="B163" s="5">
        <f>COUNTIF('3_TF'!B163:M163,"&gt;0")</f>
        <v/>
      </c>
      <c r="C163" s="5">
        <f>(1+'1_Data'!$L$8)/(1+B163)</f>
        <v/>
      </c>
      <c r="D163" s="9">
        <f>LN(C163)</f>
        <v/>
      </c>
      <c r="E163" s="9">
        <f>D163+1</f>
        <v/>
      </c>
    </row>
    <row r="164">
      <c r="A164" s="6">
        <f>'3_TF'!A164</f>
        <v/>
      </c>
      <c r="B164" s="5">
        <f>COUNTIF('3_TF'!B164:M164,"&gt;0")</f>
        <v/>
      </c>
      <c r="C164" s="5">
        <f>(1+'1_Data'!$L$8)/(1+B164)</f>
        <v/>
      </c>
      <c r="D164" s="9">
        <f>LN(C164)</f>
        <v/>
      </c>
      <c r="E164" s="9">
        <f>D164+1</f>
        <v/>
      </c>
    </row>
    <row r="165">
      <c r="A165" s="6">
        <f>'3_TF'!A165</f>
        <v/>
      </c>
      <c r="B165" s="5">
        <f>COUNTIF('3_TF'!B165:M165,"&gt;0")</f>
        <v/>
      </c>
      <c r="C165" s="5">
        <f>(1+'1_Data'!$L$8)/(1+B165)</f>
        <v/>
      </c>
      <c r="D165" s="9">
        <f>LN(C165)</f>
        <v/>
      </c>
      <c r="E165" s="9">
        <f>D165+1</f>
        <v/>
      </c>
    </row>
    <row r="166">
      <c r="A166" s="6">
        <f>'3_TF'!A166</f>
        <v/>
      </c>
      <c r="B166" s="5">
        <f>COUNTIF('3_TF'!B166:M166,"&gt;0")</f>
        <v/>
      </c>
      <c r="C166" s="5">
        <f>(1+'1_Data'!$L$8)/(1+B166)</f>
        <v/>
      </c>
      <c r="D166" s="9">
        <f>LN(C166)</f>
        <v/>
      </c>
      <c r="E166" s="9">
        <f>D166+1</f>
        <v/>
      </c>
    </row>
    <row r="167">
      <c r="A167" s="6">
        <f>'3_TF'!A167</f>
        <v/>
      </c>
      <c r="B167" s="5">
        <f>COUNTIF('3_TF'!B167:M167,"&gt;0")</f>
        <v/>
      </c>
      <c r="C167" s="5">
        <f>(1+'1_Data'!$L$8)/(1+B167)</f>
        <v/>
      </c>
      <c r="D167" s="9">
        <f>LN(C167)</f>
        <v/>
      </c>
      <c r="E167" s="9">
        <f>D167+1</f>
        <v/>
      </c>
    </row>
    <row r="168">
      <c r="A168" s="6">
        <f>'3_TF'!A168</f>
        <v/>
      </c>
      <c r="B168" s="5">
        <f>COUNTIF('3_TF'!B168:M168,"&gt;0")</f>
        <v/>
      </c>
      <c r="C168" s="5">
        <f>(1+'1_Data'!$L$8)/(1+B168)</f>
        <v/>
      </c>
      <c r="D168" s="9">
        <f>LN(C168)</f>
        <v/>
      </c>
      <c r="E168" s="9">
        <f>D168+1</f>
        <v/>
      </c>
    </row>
    <row r="169">
      <c r="A169" s="6">
        <f>'3_TF'!A169</f>
        <v/>
      </c>
      <c r="B169" s="5">
        <f>COUNTIF('3_TF'!B169:M169,"&gt;0")</f>
        <v/>
      </c>
      <c r="C169" s="5">
        <f>(1+'1_Data'!$L$8)/(1+B169)</f>
        <v/>
      </c>
      <c r="D169" s="9">
        <f>LN(C169)</f>
        <v/>
      </c>
      <c r="E169" s="9">
        <f>D169+1</f>
        <v/>
      </c>
    </row>
    <row r="170">
      <c r="A170" s="6">
        <f>'3_TF'!A170</f>
        <v/>
      </c>
      <c r="B170" s="5">
        <f>COUNTIF('3_TF'!B170:M170,"&gt;0")</f>
        <v/>
      </c>
      <c r="C170" s="5">
        <f>(1+'1_Data'!$L$8)/(1+B170)</f>
        <v/>
      </c>
      <c r="D170" s="9">
        <f>LN(C170)</f>
        <v/>
      </c>
      <c r="E170" s="9">
        <f>D170+1</f>
        <v/>
      </c>
    </row>
    <row r="171">
      <c r="A171" s="6">
        <f>'3_TF'!A171</f>
        <v/>
      </c>
      <c r="B171" s="5">
        <f>COUNTIF('3_TF'!B171:M171,"&gt;0")</f>
        <v/>
      </c>
      <c r="C171" s="5">
        <f>(1+'1_Data'!$L$8)/(1+B171)</f>
        <v/>
      </c>
      <c r="D171" s="9">
        <f>LN(C171)</f>
        <v/>
      </c>
      <c r="E171" s="9">
        <f>D171+1</f>
        <v/>
      </c>
    </row>
    <row r="172">
      <c r="A172" s="6">
        <f>'3_TF'!A172</f>
        <v/>
      </c>
      <c r="B172" s="5">
        <f>COUNTIF('3_TF'!B172:M172,"&gt;0")</f>
        <v/>
      </c>
      <c r="C172" s="5">
        <f>(1+'1_Data'!$L$8)/(1+B172)</f>
        <v/>
      </c>
      <c r="D172" s="9">
        <f>LN(C172)</f>
        <v/>
      </c>
      <c r="E172" s="9">
        <f>D172+1</f>
        <v/>
      </c>
    </row>
    <row r="173">
      <c r="A173" s="6">
        <f>'3_TF'!A173</f>
        <v/>
      </c>
      <c r="B173" s="5">
        <f>COUNTIF('3_TF'!B173:M173,"&gt;0")</f>
        <v/>
      </c>
      <c r="C173" s="5">
        <f>(1+'1_Data'!$L$8)/(1+B173)</f>
        <v/>
      </c>
      <c r="D173" s="9">
        <f>LN(C173)</f>
        <v/>
      </c>
      <c r="E173" s="9">
        <f>D173+1</f>
        <v/>
      </c>
    </row>
    <row r="174">
      <c r="A174" s="6">
        <f>'3_TF'!A174</f>
        <v/>
      </c>
      <c r="B174" s="5">
        <f>COUNTIF('3_TF'!B174:M174,"&gt;0")</f>
        <v/>
      </c>
      <c r="C174" s="5">
        <f>(1+'1_Data'!$L$8)/(1+B174)</f>
        <v/>
      </c>
      <c r="D174" s="9">
        <f>LN(C174)</f>
        <v/>
      </c>
      <c r="E174" s="9">
        <f>D174+1</f>
        <v/>
      </c>
    </row>
    <row r="175">
      <c r="A175" s="6">
        <f>'3_TF'!A175</f>
        <v/>
      </c>
      <c r="B175" s="5">
        <f>COUNTIF('3_TF'!B175:M175,"&gt;0")</f>
        <v/>
      </c>
      <c r="C175" s="5">
        <f>(1+'1_Data'!$L$8)/(1+B175)</f>
        <v/>
      </c>
      <c r="D175" s="9">
        <f>LN(C175)</f>
        <v/>
      </c>
      <c r="E175" s="9">
        <f>D175+1</f>
        <v/>
      </c>
    </row>
    <row r="176">
      <c r="A176" s="6">
        <f>'3_TF'!A176</f>
        <v/>
      </c>
      <c r="B176" s="5">
        <f>COUNTIF('3_TF'!B176:M176,"&gt;0")</f>
        <v/>
      </c>
      <c r="C176" s="5">
        <f>(1+'1_Data'!$L$8)/(1+B176)</f>
        <v/>
      </c>
      <c r="D176" s="9">
        <f>LN(C176)</f>
        <v/>
      </c>
      <c r="E176" s="9">
        <f>D176+1</f>
        <v/>
      </c>
    </row>
    <row r="177">
      <c r="A177" s="6">
        <f>'3_TF'!A177</f>
        <v/>
      </c>
      <c r="B177" s="5">
        <f>COUNTIF('3_TF'!B177:M177,"&gt;0")</f>
        <v/>
      </c>
      <c r="C177" s="5">
        <f>(1+'1_Data'!$L$8)/(1+B177)</f>
        <v/>
      </c>
      <c r="D177" s="9">
        <f>LN(C177)</f>
        <v/>
      </c>
      <c r="E177" s="9">
        <f>D177+1</f>
        <v/>
      </c>
    </row>
    <row r="178">
      <c r="A178" s="6">
        <f>'3_TF'!A178</f>
        <v/>
      </c>
      <c r="B178" s="5">
        <f>COUNTIF('3_TF'!B178:M178,"&gt;0")</f>
        <v/>
      </c>
      <c r="C178" s="5">
        <f>(1+'1_Data'!$L$8)/(1+B178)</f>
        <v/>
      </c>
      <c r="D178" s="9">
        <f>LN(C178)</f>
        <v/>
      </c>
      <c r="E178" s="9">
        <f>D178+1</f>
        <v/>
      </c>
    </row>
    <row r="179">
      <c r="A179" s="6">
        <f>'3_TF'!A179</f>
        <v/>
      </c>
      <c r="B179" s="5">
        <f>COUNTIF('3_TF'!B179:M179,"&gt;0")</f>
        <v/>
      </c>
      <c r="C179" s="5">
        <f>(1+'1_Data'!$L$8)/(1+B179)</f>
        <v/>
      </c>
      <c r="D179" s="9">
        <f>LN(C179)</f>
        <v/>
      </c>
      <c r="E179" s="9">
        <f>D179+1</f>
        <v/>
      </c>
    </row>
    <row r="180">
      <c r="A180" s="6">
        <f>'3_TF'!A180</f>
        <v/>
      </c>
      <c r="B180" s="5">
        <f>COUNTIF('3_TF'!B180:M180,"&gt;0")</f>
        <v/>
      </c>
      <c r="C180" s="5">
        <f>(1+'1_Data'!$L$8)/(1+B180)</f>
        <v/>
      </c>
      <c r="D180" s="9">
        <f>LN(C180)</f>
        <v/>
      </c>
      <c r="E180" s="9">
        <f>D180+1</f>
        <v/>
      </c>
    </row>
    <row r="181">
      <c r="A181" s="6">
        <f>'3_TF'!A181</f>
        <v/>
      </c>
      <c r="B181" s="5">
        <f>COUNTIF('3_TF'!B181:M181,"&gt;0")</f>
        <v/>
      </c>
      <c r="C181" s="5">
        <f>(1+'1_Data'!$L$8)/(1+B181)</f>
        <v/>
      </c>
      <c r="D181" s="9">
        <f>LN(C181)</f>
        <v/>
      </c>
      <c r="E181" s="9">
        <f>D181+1</f>
        <v/>
      </c>
    </row>
    <row r="182">
      <c r="A182" s="6">
        <f>'3_TF'!A182</f>
        <v/>
      </c>
      <c r="B182" s="5">
        <f>COUNTIF('3_TF'!B182:M182,"&gt;0")</f>
        <v/>
      </c>
      <c r="C182" s="5">
        <f>(1+'1_Data'!$L$8)/(1+B182)</f>
        <v/>
      </c>
      <c r="D182" s="9">
        <f>LN(C182)</f>
        <v/>
      </c>
      <c r="E182" s="9">
        <f>D182+1</f>
        <v/>
      </c>
    </row>
    <row r="183">
      <c r="A183" s="6">
        <f>'3_TF'!A183</f>
        <v/>
      </c>
      <c r="B183" s="5">
        <f>COUNTIF('3_TF'!B183:M183,"&gt;0")</f>
        <v/>
      </c>
      <c r="C183" s="5">
        <f>(1+'1_Data'!$L$8)/(1+B183)</f>
        <v/>
      </c>
      <c r="D183" s="9">
        <f>LN(C183)</f>
        <v/>
      </c>
      <c r="E183" s="9">
        <f>D183+1</f>
        <v/>
      </c>
    </row>
    <row r="184">
      <c r="A184" s="6">
        <f>'3_TF'!A184</f>
        <v/>
      </c>
      <c r="B184" s="5">
        <f>COUNTIF('3_TF'!B184:M184,"&gt;0")</f>
        <v/>
      </c>
      <c r="C184" s="5">
        <f>(1+'1_Data'!$L$8)/(1+B184)</f>
        <v/>
      </c>
      <c r="D184" s="9">
        <f>LN(C184)</f>
        <v/>
      </c>
      <c r="E184" s="9">
        <f>D184+1</f>
        <v/>
      </c>
    </row>
    <row r="185">
      <c r="A185" s="6">
        <f>'3_TF'!A185</f>
        <v/>
      </c>
      <c r="B185" s="5">
        <f>COUNTIF('3_TF'!B185:M185,"&gt;0")</f>
        <v/>
      </c>
      <c r="C185" s="5">
        <f>(1+'1_Data'!$L$8)/(1+B185)</f>
        <v/>
      </c>
      <c r="D185" s="9">
        <f>LN(C185)</f>
        <v/>
      </c>
      <c r="E185" s="9">
        <f>D185+1</f>
        <v/>
      </c>
    </row>
    <row r="186">
      <c r="A186" s="6">
        <f>'3_TF'!A186</f>
        <v/>
      </c>
      <c r="B186" s="5">
        <f>COUNTIF('3_TF'!B186:M186,"&gt;0")</f>
        <v/>
      </c>
      <c r="C186" s="5">
        <f>(1+'1_Data'!$L$8)/(1+B186)</f>
        <v/>
      </c>
      <c r="D186" s="9">
        <f>LN(C186)</f>
        <v/>
      </c>
      <c r="E186" s="9">
        <f>D186+1</f>
        <v/>
      </c>
    </row>
    <row r="187">
      <c r="A187" s="6">
        <f>'3_TF'!A187</f>
        <v/>
      </c>
      <c r="B187" s="5">
        <f>COUNTIF('3_TF'!B187:M187,"&gt;0")</f>
        <v/>
      </c>
      <c r="C187" s="5">
        <f>(1+'1_Data'!$L$8)/(1+B187)</f>
        <v/>
      </c>
      <c r="D187" s="9">
        <f>LN(C187)</f>
        <v/>
      </c>
      <c r="E187" s="9">
        <f>D187+1</f>
        <v/>
      </c>
    </row>
    <row r="188">
      <c r="A188" s="6">
        <f>'3_TF'!A188</f>
        <v/>
      </c>
      <c r="B188" s="5">
        <f>COUNTIF('3_TF'!B188:M188,"&gt;0")</f>
        <v/>
      </c>
      <c r="C188" s="5">
        <f>(1+'1_Data'!$L$8)/(1+B188)</f>
        <v/>
      </c>
      <c r="D188" s="9">
        <f>LN(C188)</f>
        <v/>
      </c>
      <c r="E188" s="9">
        <f>D188+1</f>
        <v/>
      </c>
    </row>
    <row r="189">
      <c r="A189" s="6">
        <f>'3_TF'!A189</f>
        <v/>
      </c>
      <c r="B189" s="5">
        <f>COUNTIF('3_TF'!B189:M189,"&gt;0")</f>
        <v/>
      </c>
      <c r="C189" s="5">
        <f>(1+'1_Data'!$L$8)/(1+B189)</f>
        <v/>
      </c>
      <c r="D189" s="9">
        <f>LN(C189)</f>
        <v/>
      </c>
      <c r="E189" s="9">
        <f>D189+1</f>
        <v/>
      </c>
    </row>
    <row r="190">
      <c r="A190" s="6">
        <f>'3_TF'!A190</f>
        <v/>
      </c>
      <c r="B190" s="5">
        <f>COUNTIF('3_TF'!B190:M190,"&gt;0")</f>
        <v/>
      </c>
      <c r="C190" s="5">
        <f>(1+'1_Data'!$L$8)/(1+B190)</f>
        <v/>
      </c>
      <c r="D190" s="9">
        <f>LN(C190)</f>
        <v/>
      </c>
      <c r="E190" s="9">
        <f>D190+1</f>
        <v/>
      </c>
    </row>
    <row r="191">
      <c r="A191" s="6">
        <f>'3_TF'!A191</f>
        <v/>
      </c>
      <c r="B191" s="5">
        <f>COUNTIF('3_TF'!B191:M191,"&gt;0")</f>
        <v/>
      </c>
      <c r="C191" s="5">
        <f>(1+'1_Data'!$L$8)/(1+B191)</f>
        <v/>
      </c>
      <c r="D191" s="9">
        <f>LN(C191)</f>
        <v/>
      </c>
      <c r="E191" s="9">
        <f>D191+1</f>
        <v/>
      </c>
    </row>
    <row r="192">
      <c r="A192" s="6">
        <f>'3_TF'!A192</f>
        <v/>
      </c>
      <c r="B192" s="5">
        <f>COUNTIF('3_TF'!B192:M192,"&gt;0")</f>
        <v/>
      </c>
      <c r="C192" s="5">
        <f>(1+'1_Data'!$L$8)/(1+B192)</f>
        <v/>
      </c>
      <c r="D192" s="9">
        <f>LN(C192)</f>
        <v/>
      </c>
      <c r="E192" s="9">
        <f>D192+1</f>
        <v/>
      </c>
    </row>
    <row r="193">
      <c r="A193" s="6">
        <f>'3_TF'!A193</f>
        <v/>
      </c>
      <c r="B193" s="5">
        <f>COUNTIF('3_TF'!B193:M193,"&gt;0")</f>
        <v/>
      </c>
      <c r="C193" s="5">
        <f>(1+'1_Data'!$L$8)/(1+B193)</f>
        <v/>
      </c>
      <c r="D193" s="9">
        <f>LN(C193)</f>
        <v/>
      </c>
      <c r="E193" s="9">
        <f>D193+1</f>
        <v/>
      </c>
    </row>
    <row r="194">
      <c r="A194" s="6">
        <f>'3_TF'!A194</f>
        <v/>
      </c>
      <c r="B194" s="5">
        <f>COUNTIF('3_TF'!B194:M194,"&gt;0")</f>
        <v/>
      </c>
      <c r="C194" s="5">
        <f>(1+'1_Data'!$L$8)/(1+B194)</f>
        <v/>
      </c>
      <c r="D194" s="9">
        <f>LN(C194)</f>
        <v/>
      </c>
      <c r="E194" s="9">
        <f>D194+1</f>
        <v/>
      </c>
    </row>
    <row r="195">
      <c r="A195" s="6">
        <f>'3_TF'!A195</f>
        <v/>
      </c>
      <c r="B195" s="5">
        <f>COUNTIF('3_TF'!B195:M195,"&gt;0")</f>
        <v/>
      </c>
      <c r="C195" s="5">
        <f>(1+'1_Data'!$L$8)/(1+B195)</f>
        <v/>
      </c>
      <c r="D195" s="9">
        <f>LN(C195)</f>
        <v/>
      </c>
      <c r="E195" s="9">
        <f>D195+1</f>
        <v/>
      </c>
    </row>
    <row r="196">
      <c r="A196" s="6">
        <f>'3_TF'!A196</f>
        <v/>
      </c>
      <c r="B196" s="5">
        <f>COUNTIF('3_TF'!B196:M196,"&gt;0")</f>
        <v/>
      </c>
      <c r="C196" s="5">
        <f>(1+'1_Data'!$L$8)/(1+B196)</f>
        <v/>
      </c>
      <c r="D196" s="9">
        <f>LN(C196)</f>
        <v/>
      </c>
      <c r="E196" s="9">
        <f>D196+1</f>
        <v/>
      </c>
    </row>
    <row r="197">
      <c r="A197" s="6">
        <f>'3_TF'!A197</f>
        <v/>
      </c>
      <c r="B197" s="5">
        <f>COUNTIF('3_TF'!B197:M197,"&gt;0")</f>
        <v/>
      </c>
      <c r="C197" s="5">
        <f>(1+'1_Data'!$L$8)/(1+B197)</f>
        <v/>
      </c>
      <c r="D197" s="9">
        <f>LN(C197)</f>
        <v/>
      </c>
      <c r="E197" s="9">
        <f>D197+1</f>
        <v/>
      </c>
    </row>
    <row r="198">
      <c r="A198" s="6">
        <f>'3_TF'!A198</f>
        <v/>
      </c>
      <c r="B198" s="5">
        <f>COUNTIF('3_TF'!B198:M198,"&gt;0")</f>
        <v/>
      </c>
      <c r="C198" s="5">
        <f>(1+'1_Data'!$L$8)/(1+B198)</f>
        <v/>
      </c>
      <c r="D198" s="9">
        <f>LN(C198)</f>
        <v/>
      </c>
      <c r="E198" s="9">
        <f>D198+1</f>
        <v/>
      </c>
    </row>
    <row r="199">
      <c r="A199" s="6">
        <f>'3_TF'!A199</f>
        <v/>
      </c>
      <c r="B199" s="5">
        <f>COUNTIF('3_TF'!B199:M199,"&gt;0")</f>
        <v/>
      </c>
      <c r="C199" s="5">
        <f>(1+'1_Data'!$L$8)/(1+B199)</f>
        <v/>
      </c>
      <c r="D199" s="9">
        <f>LN(C199)</f>
        <v/>
      </c>
      <c r="E199" s="9">
        <f>D199+1</f>
        <v/>
      </c>
    </row>
    <row r="200">
      <c r="A200" s="6">
        <f>'3_TF'!A200</f>
        <v/>
      </c>
      <c r="B200" s="5">
        <f>COUNTIF('3_TF'!B200:M200,"&gt;0")</f>
        <v/>
      </c>
      <c r="C200" s="5">
        <f>(1+'1_Data'!$L$8)/(1+B200)</f>
        <v/>
      </c>
      <c r="D200" s="9">
        <f>LN(C200)</f>
        <v/>
      </c>
      <c r="E200" s="9">
        <f>D200+1</f>
        <v/>
      </c>
    </row>
    <row r="201">
      <c r="A201" s="6">
        <f>'3_TF'!A201</f>
        <v/>
      </c>
      <c r="B201" s="5">
        <f>COUNTIF('3_TF'!B201:M201,"&gt;0")</f>
        <v/>
      </c>
      <c r="C201" s="5">
        <f>(1+'1_Data'!$L$8)/(1+B201)</f>
        <v/>
      </c>
      <c r="D201" s="9">
        <f>LN(C201)</f>
        <v/>
      </c>
      <c r="E201" s="9">
        <f>D201+1</f>
        <v/>
      </c>
    </row>
    <row r="202">
      <c r="A202" s="6">
        <f>'3_TF'!A202</f>
        <v/>
      </c>
      <c r="B202" s="5">
        <f>COUNTIF('3_TF'!B202:M202,"&gt;0")</f>
        <v/>
      </c>
      <c r="C202" s="5">
        <f>(1+'1_Data'!$L$8)/(1+B202)</f>
        <v/>
      </c>
      <c r="D202" s="9">
        <f>LN(C202)</f>
        <v/>
      </c>
      <c r="E202" s="9">
        <f>D202+1</f>
        <v/>
      </c>
    </row>
    <row r="203">
      <c r="A203" s="6">
        <f>'3_TF'!A203</f>
        <v/>
      </c>
      <c r="B203" s="5">
        <f>COUNTIF('3_TF'!B203:M203,"&gt;0")</f>
        <v/>
      </c>
      <c r="C203" s="5">
        <f>(1+'1_Data'!$L$8)/(1+B203)</f>
        <v/>
      </c>
      <c r="D203" s="9">
        <f>LN(C203)</f>
        <v/>
      </c>
      <c r="E203" s="9">
        <f>D203+1</f>
        <v/>
      </c>
    </row>
    <row r="204">
      <c r="A204" s="6">
        <f>'3_TF'!A204</f>
        <v/>
      </c>
      <c r="B204" s="5">
        <f>COUNTIF('3_TF'!B204:M204,"&gt;0")</f>
        <v/>
      </c>
      <c r="C204" s="5">
        <f>(1+'1_Data'!$L$8)/(1+B204)</f>
        <v/>
      </c>
      <c r="D204" s="9">
        <f>LN(C204)</f>
        <v/>
      </c>
      <c r="E204" s="9">
        <f>D204+1</f>
        <v/>
      </c>
    </row>
    <row r="205">
      <c r="A205" s="6">
        <f>'3_TF'!A205</f>
        <v/>
      </c>
      <c r="B205" s="5">
        <f>COUNTIF('3_TF'!B205:M205,"&gt;0")</f>
        <v/>
      </c>
      <c r="C205" s="5">
        <f>(1+'1_Data'!$L$8)/(1+B205)</f>
        <v/>
      </c>
      <c r="D205" s="9">
        <f>LN(C205)</f>
        <v/>
      </c>
      <c r="E205" s="9">
        <f>D205+1</f>
        <v/>
      </c>
    </row>
    <row r="206">
      <c r="A206" s="6">
        <f>'3_TF'!A206</f>
        <v/>
      </c>
      <c r="B206" s="5">
        <f>COUNTIF('3_TF'!B206:M206,"&gt;0")</f>
        <v/>
      </c>
      <c r="C206" s="5">
        <f>(1+'1_Data'!$L$8)/(1+B206)</f>
        <v/>
      </c>
      <c r="D206" s="9">
        <f>LN(C206)</f>
        <v/>
      </c>
      <c r="E206" s="9">
        <f>D206+1</f>
        <v/>
      </c>
    </row>
    <row r="207">
      <c r="A207" s="6">
        <f>'3_TF'!A207</f>
        <v/>
      </c>
      <c r="B207" s="5">
        <f>COUNTIF('3_TF'!B207:M207,"&gt;0")</f>
        <v/>
      </c>
      <c r="C207" s="5">
        <f>(1+'1_Data'!$L$8)/(1+B207)</f>
        <v/>
      </c>
      <c r="D207" s="9">
        <f>LN(C207)</f>
        <v/>
      </c>
      <c r="E207" s="9">
        <f>D207+1</f>
        <v/>
      </c>
    </row>
    <row r="208">
      <c r="A208" s="6">
        <f>'3_TF'!A208</f>
        <v/>
      </c>
      <c r="B208" s="5">
        <f>COUNTIF('3_TF'!B208:M208,"&gt;0")</f>
        <v/>
      </c>
      <c r="C208" s="5">
        <f>(1+'1_Data'!$L$8)/(1+B208)</f>
        <v/>
      </c>
      <c r="D208" s="9">
        <f>LN(C208)</f>
        <v/>
      </c>
      <c r="E208" s="9">
        <f>D208+1</f>
        <v/>
      </c>
    </row>
    <row r="209">
      <c r="A209" s="6">
        <f>'3_TF'!A209</f>
        <v/>
      </c>
      <c r="B209" s="5">
        <f>COUNTIF('3_TF'!B209:M209,"&gt;0")</f>
        <v/>
      </c>
      <c r="C209" s="5">
        <f>(1+'1_Data'!$L$8)/(1+B209)</f>
        <v/>
      </c>
      <c r="D209" s="9">
        <f>LN(C209)</f>
        <v/>
      </c>
      <c r="E209" s="9">
        <f>D209+1</f>
        <v/>
      </c>
    </row>
    <row r="210">
      <c r="A210" s="6">
        <f>'3_TF'!A210</f>
        <v/>
      </c>
      <c r="B210" s="5">
        <f>COUNTIF('3_TF'!B210:M210,"&gt;0")</f>
        <v/>
      </c>
      <c r="C210" s="5">
        <f>(1+'1_Data'!$L$8)/(1+B210)</f>
        <v/>
      </c>
      <c r="D210" s="9">
        <f>LN(C210)</f>
        <v/>
      </c>
      <c r="E210" s="9">
        <f>D210+1</f>
        <v/>
      </c>
    </row>
    <row r="211">
      <c r="A211" s="6">
        <f>'3_TF'!A211</f>
        <v/>
      </c>
      <c r="B211" s="5">
        <f>COUNTIF('3_TF'!B211:M211,"&gt;0")</f>
        <v/>
      </c>
      <c r="C211" s="5">
        <f>(1+'1_Data'!$L$8)/(1+B211)</f>
        <v/>
      </c>
      <c r="D211" s="9">
        <f>LN(C211)</f>
        <v/>
      </c>
      <c r="E211" s="9">
        <f>D211+1</f>
        <v/>
      </c>
    </row>
    <row r="212">
      <c r="A212" s="6">
        <f>'3_TF'!A212</f>
        <v/>
      </c>
      <c r="B212" s="5">
        <f>COUNTIF('3_TF'!B212:M212,"&gt;0")</f>
        <v/>
      </c>
      <c r="C212" s="5">
        <f>(1+'1_Data'!$L$8)/(1+B212)</f>
        <v/>
      </c>
      <c r="D212" s="9">
        <f>LN(C212)</f>
        <v/>
      </c>
      <c r="E212" s="9">
        <f>D212+1</f>
        <v/>
      </c>
    </row>
    <row r="213">
      <c r="A213" s="6">
        <f>'3_TF'!A213</f>
        <v/>
      </c>
      <c r="B213" s="5">
        <f>COUNTIF('3_TF'!B213:M213,"&gt;0")</f>
        <v/>
      </c>
      <c r="C213" s="5">
        <f>(1+'1_Data'!$L$8)/(1+B213)</f>
        <v/>
      </c>
      <c r="D213" s="9">
        <f>LN(C213)</f>
        <v/>
      </c>
      <c r="E213" s="9">
        <f>D213+1</f>
        <v/>
      </c>
    </row>
    <row r="214">
      <c r="A214" s="6">
        <f>'3_TF'!A214</f>
        <v/>
      </c>
      <c r="B214" s="5">
        <f>COUNTIF('3_TF'!B214:M214,"&gt;0")</f>
        <v/>
      </c>
      <c r="C214" s="5">
        <f>(1+'1_Data'!$L$8)/(1+B214)</f>
        <v/>
      </c>
      <c r="D214" s="9">
        <f>LN(C214)</f>
        <v/>
      </c>
      <c r="E214" s="9">
        <f>D214+1</f>
        <v/>
      </c>
    </row>
    <row r="215">
      <c r="A215" s="6">
        <f>'3_TF'!A215</f>
        <v/>
      </c>
      <c r="B215" s="5">
        <f>COUNTIF('3_TF'!B215:M215,"&gt;0")</f>
        <v/>
      </c>
      <c r="C215" s="5">
        <f>(1+'1_Data'!$L$8)/(1+B215)</f>
        <v/>
      </c>
      <c r="D215" s="9">
        <f>LN(C215)</f>
        <v/>
      </c>
      <c r="E215" s="9">
        <f>D215+1</f>
        <v/>
      </c>
    </row>
    <row r="216">
      <c r="A216" s="6">
        <f>'3_TF'!A216</f>
        <v/>
      </c>
      <c r="B216" s="5">
        <f>COUNTIF('3_TF'!B216:M216,"&gt;0")</f>
        <v/>
      </c>
      <c r="C216" s="5">
        <f>(1+'1_Data'!$L$8)/(1+B216)</f>
        <v/>
      </c>
      <c r="D216" s="9">
        <f>LN(C216)</f>
        <v/>
      </c>
      <c r="E216" s="9">
        <f>D216+1</f>
        <v/>
      </c>
    </row>
    <row r="217">
      <c r="A217" s="6">
        <f>'3_TF'!A217</f>
        <v/>
      </c>
      <c r="B217" s="5">
        <f>COUNTIF('3_TF'!B217:M217,"&gt;0")</f>
        <v/>
      </c>
      <c r="C217" s="5">
        <f>(1+'1_Data'!$L$8)/(1+B217)</f>
        <v/>
      </c>
      <c r="D217" s="9">
        <f>LN(C217)</f>
        <v/>
      </c>
      <c r="E217" s="9">
        <f>D217+1</f>
        <v/>
      </c>
    </row>
    <row r="218">
      <c r="A218" s="6">
        <f>'3_TF'!A218</f>
        <v/>
      </c>
      <c r="B218" s="5">
        <f>COUNTIF('3_TF'!B218:M218,"&gt;0")</f>
        <v/>
      </c>
      <c r="C218" s="5">
        <f>(1+'1_Data'!$L$8)/(1+B218)</f>
        <v/>
      </c>
      <c r="D218" s="9">
        <f>LN(C218)</f>
        <v/>
      </c>
      <c r="E218" s="9">
        <f>D218+1</f>
        <v/>
      </c>
    </row>
    <row r="219">
      <c r="A219" s="6">
        <f>'3_TF'!A219</f>
        <v/>
      </c>
      <c r="B219" s="5">
        <f>COUNTIF('3_TF'!B219:M219,"&gt;0")</f>
        <v/>
      </c>
      <c r="C219" s="5">
        <f>(1+'1_Data'!$L$8)/(1+B219)</f>
        <v/>
      </c>
      <c r="D219" s="9">
        <f>LN(C219)</f>
        <v/>
      </c>
      <c r="E219" s="9">
        <f>D219+1</f>
        <v/>
      </c>
    </row>
    <row r="220">
      <c r="A220" s="6">
        <f>'3_TF'!A220</f>
        <v/>
      </c>
      <c r="B220" s="5">
        <f>COUNTIF('3_TF'!B220:M220,"&gt;0")</f>
        <v/>
      </c>
      <c r="C220" s="5">
        <f>(1+'1_Data'!$L$8)/(1+B220)</f>
        <v/>
      </c>
      <c r="D220" s="9">
        <f>LN(C220)</f>
        <v/>
      </c>
      <c r="E220" s="9">
        <f>D220+1</f>
        <v/>
      </c>
    </row>
    <row r="221">
      <c r="A221" s="6">
        <f>'3_TF'!A221</f>
        <v/>
      </c>
      <c r="B221" s="5">
        <f>COUNTIF('3_TF'!B221:M221,"&gt;0")</f>
        <v/>
      </c>
      <c r="C221" s="5">
        <f>(1+'1_Data'!$L$8)/(1+B221)</f>
        <v/>
      </c>
      <c r="D221" s="9">
        <f>LN(C221)</f>
        <v/>
      </c>
      <c r="E221" s="9">
        <f>D221+1</f>
        <v/>
      </c>
    </row>
    <row r="222">
      <c r="A222" s="6">
        <f>'3_TF'!A222</f>
        <v/>
      </c>
      <c r="B222" s="5">
        <f>COUNTIF('3_TF'!B222:M222,"&gt;0")</f>
        <v/>
      </c>
      <c r="C222" s="5">
        <f>(1+'1_Data'!$L$8)/(1+B222)</f>
        <v/>
      </c>
      <c r="D222" s="9">
        <f>LN(C222)</f>
        <v/>
      </c>
      <c r="E222" s="9">
        <f>D222+1</f>
        <v/>
      </c>
    </row>
    <row r="223">
      <c r="A223" s="6">
        <f>'3_TF'!A223</f>
        <v/>
      </c>
      <c r="B223" s="5">
        <f>COUNTIF('3_TF'!B223:M223,"&gt;0")</f>
        <v/>
      </c>
      <c r="C223" s="5">
        <f>(1+'1_Data'!$L$8)/(1+B223)</f>
        <v/>
      </c>
      <c r="D223" s="9">
        <f>LN(C223)</f>
        <v/>
      </c>
      <c r="E223" s="9">
        <f>D223+1</f>
        <v/>
      </c>
    </row>
    <row r="224">
      <c r="A224" s="6">
        <f>'3_TF'!A224</f>
        <v/>
      </c>
      <c r="B224" s="5">
        <f>COUNTIF('3_TF'!B224:M224,"&gt;0")</f>
        <v/>
      </c>
      <c r="C224" s="5">
        <f>(1+'1_Data'!$L$8)/(1+B224)</f>
        <v/>
      </c>
      <c r="D224" s="9">
        <f>LN(C224)</f>
        <v/>
      </c>
      <c r="E224" s="9">
        <f>D224+1</f>
        <v/>
      </c>
    </row>
    <row r="225">
      <c r="A225" s="6">
        <f>'3_TF'!A225</f>
        <v/>
      </c>
      <c r="B225" s="5">
        <f>COUNTIF('3_TF'!B225:M225,"&gt;0")</f>
        <v/>
      </c>
      <c r="C225" s="5">
        <f>(1+'1_Data'!$L$8)/(1+B225)</f>
        <v/>
      </c>
      <c r="D225" s="9">
        <f>LN(C225)</f>
        <v/>
      </c>
      <c r="E225" s="9">
        <f>D225+1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227"/>
  <sheetViews>
    <sheetView workbookViewId="0">
      <selection activeCell="A1" sqref="A1"/>
    </sheetView>
  </sheetViews>
  <sheetFormatPr baseColWidth="8" defaultRowHeight="15"/>
  <cols>
    <col width="1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8"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1">
      <c r="A1" s="1" t="inlineStr">
        <is>
          <t>5 - Bobot TF-IDF dan normalisasi L2</t>
        </is>
      </c>
    </row>
    <row r="2">
      <c r="A2" s="2" t="inlineStr">
        <is>
          <t>Kiri: w = TF x IDF. Baris 'norma' = SQRT(SUMSQ(kolom)). Kanan: w / norma. Kolom profil = rata-rata vektor ternormalisasi dari 3 artikel sesi (sesuai _cbf_scores).</t>
        </is>
      </c>
    </row>
    <row r="4" ht="30" customHeight="1">
      <c r="A4" s="3" t="inlineStr">
        <is>
          <t>Term</t>
        </is>
      </c>
      <c r="B4" s="3" t="inlineStr">
        <is>
          <t>w pos 1</t>
        </is>
      </c>
      <c r="C4" s="3" t="inlineStr">
        <is>
          <t>w pos 2</t>
        </is>
      </c>
      <c r="D4" s="3" t="inlineStr">
        <is>
          <t>w pos 3</t>
        </is>
      </c>
      <c r="E4" s="3" t="inlineStr">
        <is>
          <t>w pos 4</t>
        </is>
      </c>
      <c r="F4" s="3" t="inlineStr">
        <is>
          <t>w pos 5</t>
        </is>
      </c>
      <c r="G4" s="3" t="inlineStr">
        <is>
          <t>w pos 6</t>
        </is>
      </c>
      <c r="H4" s="3" t="inlineStr">
        <is>
          <t>w pos 7</t>
        </is>
      </c>
      <c r="I4" s="3" t="inlineStr">
        <is>
          <t>w pos 8</t>
        </is>
      </c>
      <c r="J4" s="3" t="inlineStr">
        <is>
          <t>w pos 9</t>
        </is>
      </c>
      <c r="K4" s="3" t="inlineStr">
        <is>
          <t>w pos 10</t>
        </is>
      </c>
      <c r="L4" s="3" t="inlineStr">
        <is>
          <t>w pos 11</t>
        </is>
      </c>
      <c r="M4" s="3" t="inlineStr">
        <is>
          <t>w pos 12</t>
        </is>
      </c>
      <c r="N4" s="3" t="inlineStr"/>
      <c r="O4" s="3" t="inlineStr">
        <is>
          <t>Term</t>
        </is>
      </c>
      <c r="P4" s="3" t="inlineStr">
        <is>
          <t>n pos 1</t>
        </is>
      </c>
      <c r="Q4" s="3" t="inlineStr">
        <is>
          <t>n pos 2</t>
        </is>
      </c>
      <c r="R4" s="3" t="inlineStr">
        <is>
          <t>n pos 3</t>
        </is>
      </c>
      <c r="S4" s="3" t="inlineStr">
        <is>
          <t>n pos 4</t>
        </is>
      </c>
      <c r="T4" s="3" t="inlineStr">
        <is>
          <t>n pos 5</t>
        </is>
      </c>
      <c r="U4" s="3" t="inlineStr">
        <is>
          <t>n pos 6</t>
        </is>
      </c>
      <c r="V4" s="3" t="inlineStr">
        <is>
          <t>n pos 7</t>
        </is>
      </c>
      <c r="W4" s="3" t="inlineStr">
        <is>
          <t>n pos 8</t>
        </is>
      </c>
      <c r="X4" s="3" t="inlineStr">
        <is>
          <t>n pos 9</t>
        </is>
      </c>
      <c r="Y4" s="3" t="inlineStr">
        <is>
          <t>n pos 10</t>
        </is>
      </c>
      <c r="Z4" s="3" t="inlineStr">
        <is>
          <t>n pos 11</t>
        </is>
      </c>
      <c r="AA4" s="3" t="inlineStr">
        <is>
          <t>n pos 12</t>
        </is>
      </c>
      <c r="AB4" s="3" t="inlineStr">
        <is>
          <t>profil</t>
        </is>
      </c>
    </row>
    <row r="6">
      <c r="A6" s="6">
        <f>'3_TF'!A6</f>
        <v/>
      </c>
      <c r="B6" s="9">
        <f>'3_TF'!B6*'4_IDF'!$E6</f>
        <v/>
      </c>
      <c r="C6" s="9">
        <f>'3_TF'!C6*'4_IDF'!$E6</f>
        <v/>
      </c>
      <c r="D6" s="9">
        <f>'3_TF'!D6*'4_IDF'!$E6</f>
        <v/>
      </c>
      <c r="E6" s="9">
        <f>'3_TF'!E6*'4_IDF'!$E6</f>
        <v/>
      </c>
      <c r="F6" s="9">
        <f>'3_TF'!F6*'4_IDF'!$E6</f>
        <v/>
      </c>
      <c r="G6" s="9">
        <f>'3_TF'!G6*'4_IDF'!$E6</f>
        <v/>
      </c>
      <c r="H6" s="9">
        <f>'3_TF'!H6*'4_IDF'!$E6</f>
        <v/>
      </c>
      <c r="I6" s="9">
        <f>'3_TF'!I6*'4_IDF'!$E6</f>
        <v/>
      </c>
      <c r="J6" s="9">
        <f>'3_TF'!J6*'4_IDF'!$E6</f>
        <v/>
      </c>
      <c r="K6" s="9">
        <f>'3_TF'!K6*'4_IDF'!$E6</f>
        <v/>
      </c>
      <c r="L6" s="9">
        <f>'3_TF'!L6*'4_IDF'!$E6</f>
        <v/>
      </c>
      <c r="M6" s="9">
        <f>'3_TF'!M6*'4_IDF'!$E6</f>
        <v/>
      </c>
      <c r="O6" s="6">
        <f>A6</f>
        <v/>
      </c>
      <c r="P6" s="9">
        <f>IF(B$227=0,0,B6/B$227)</f>
        <v/>
      </c>
      <c r="Q6" s="9">
        <f>IF(C$227=0,0,C6/C$227)</f>
        <v/>
      </c>
      <c r="R6" s="9">
        <f>IF(D$227=0,0,D6/D$227)</f>
        <v/>
      </c>
      <c r="S6" s="9">
        <f>IF(E$227=0,0,E6/E$227)</f>
        <v/>
      </c>
      <c r="T6" s="9">
        <f>IF(F$227=0,0,F6/F$227)</f>
        <v/>
      </c>
      <c r="U6" s="9">
        <f>IF(G$227=0,0,G6/G$227)</f>
        <v/>
      </c>
      <c r="V6" s="9">
        <f>IF(H$227=0,0,H6/H$227)</f>
        <v/>
      </c>
      <c r="W6" s="9">
        <f>IF(I$227=0,0,I6/I$227)</f>
        <v/>
      </c>
      <c r="X6" s="9">
        <f>IF(J$227=0,0,J6/J$227)</f>
        <v/>
      </c>
      <c r="Y6" s="9">
        <f>IF(K$227=0,0,K6/K$227)</f>
        <v/>
      </c>
      <c r="Z6" s="9">
        <f>IF(L$227=0,0,L6/L$227)</f>
        <v/>
      </c>
      <c r="AA6" s="9">
        <f>IF(M$227=0,0,M6/M$227)</f>
        <v/>
      </c>
      <c r="AB6" s="9">
        <f>AVERAGE(P6,Q6,S6)</f>
        <v/>
      </c>
    </row>
    <row r="7">
      <c r="A7" s="6">
        <f>'3_TF'!A7</f>
        <v/>
      </c>
      <c r="B7" s="9">
        <f>'3_TF'!B7*'4_IDF'!$E7</f>
        <v/>
      </c>
      <c r="C7" s="9">
        <f>'3_TF'!C7*'4_IDF'!$E7</f>
        <v/>
      </c>
      <c r="D7" s="9">
        <f>'3_TF'!D7*'4_IDF'!$E7</f>
        <v/>
      </c>
      <c r="E7" s="9">
        <f>'3_TF'!E7*'4_IDF'!$E7</f>
        <v/>
      </c>
      <c r="F7" s="9">
        <f>'3_TF'!F7*'4_IDF'!$E7</f>
        <v/>
      </c>
      <c r="G7" s="9">
        <f>'3_TF'!G7*'4_IDF'!$E7</f>
        <v/>
      </c>
      <c r="H7" s="9">
        <f>'3_TF'!H7*'4_IDF'!$E7</f>
        <v/>
      </c>
      <c r="I7" s="9">
        <f>'3_TF'!I7*'4_IDF'!$E7</f>
        <v/>
      </c>
      <c r="J7" s="9">
        <f>'3_TF'!J7*'4_IDF'!$E7</f>
        <v/>
      </c>
      <c r="K7" s="9">
        <f>'3_TF'!K7*'4_IDF'!$E7</f>
        <v/>
      </c>
      <c r="L7" s="9">
        <f>'3_TF'!L7*'4_IDF'!$E7</f>
        <v/>
      </c>
      <c r="M7" s="9">
        <f>'3_TF'!M7*'4_IDF'!$E7</f>
        <v/>
      </c>
      <c r="O7" s="6">
        <f>A7</f>
        <v/>
      </c>
      <c r="P7" s="9">
        <f>IF(B$227=0,0,B7/B$227)</f>
        <v/>
      </c>
      <c r="Q7" s="9">
        <f>IF(C$227=0,0,C7/C$227)</f>
        <v/>
      </c>
      <c r="R7" s="9">
        <f>IF(D$227=0,0,D7/D$227)</f>
        <v/>
      </c>
      <c r="S7" s="9">
        <f>IF(E$227=0,0,E7/E$227)</f>
        <v/>
      </c>
      <c r="T7" s="9">
        <f>IF(F$227=0,0,F7/F$227)</f>
        <v/>
      </c>
      <c r="U7" s="9">
        <f>IF(G$227=0,0,G7/G$227)</f>
        <v/>
      </c>
      <c r="V7" s="9">
        <f>IF(H$227=0,0,H7/H$227)</f>
        <v/>
      </c>
      <c r="W7" s="9">
        <f>IF(I$227=0,0,I7/I$227)</f>
        <v/>
      </c>
      <c r="X7" s="9">
        <f>IF(J$227=0,0,J7/J$227)</f>
        <v/>
      </c>
      <c r="Y7" s="9">
        <f>IF(K$227=0,0,K7/K$227)</f>
        <v/>
      </c>
      <c r="Z7" s="9">
        <f>IF(L$227=0,0,L7/L$227)</f>
        <v/>
      </c>
      <c r="AA7" s="9">
        <f>IF(M$227=0,0,M7/M$227)</f>
        <v/>
      </c>
      <c r="AB7" s="9">
        <f>AVERAGE(P7,Q7,S7)</f>
        <v/>
      </c>
    </row>
    <row r="8">
      <c r="A8" s="6">
        <f>'3_TF'!A8</f>
        <v/>
      </c>
      <c r="B8" s="9">
        <f>'3_TF'!B8*'4_IDF'!$E8</f>
        <v/>
      </c>
      <c r="C8" s="9">
        <f>'3_TF'!C8*'4_IDF'!$E8</f>
        <v/>
      </c>
      <c r="D8" s="9">
        <f>'3_TF'!D8*'4_IDF'!$E8</f>
        <v/>
      </c>
      <c r="E8" s="9">
        <f>'3_TF'!E8*'4_IDF'!$E8</f>
        <v/>
      </c>
      <c r="F8" s="9">
        <f>'3_TF'!F8*'4_IDF'!$E8</f>
        <v/>
      </c>
      <c r="G8" s="9">
        <f>'3_TF'!G8*'4_IDF'!$E8</f>
        <v/>
      </c>
      <c r="H8" s="9">
        <f>'3_TF'!H8*'4_IDF'!$E8</f>
        <v/>
      </c>
      <c r="I8" s="9">
        <f>'3_TF'!I8*'4_IDF'!$E8</f>
        <v/>
      </c>
      <c r="J8" s="9">
        <f>'3_TF'!J8*'4_IDF'!$E8</f>
        <v/>
      </c>
      <c r="K8" s="9">
        <f>'3_TF'!K8*'4_IDF'!$E8</f>
        <v/>
      </c>
      <c r="L8" s="9">
        <f>'3_TF'!L8*'4_IDF'!$E8</f>
        <v/>
      </c>
      <c r="M8" s="9">
        <f>'3_TF'!M8*'4_IDF'!$E8</f>
        <v/>
      </c>
      <c r="O8" s="6">
        <f>A8</f>
        <v/>
      </c>
      <c r="P8" s="9">
        <f>IF(B$227=0,0,B8/B$227)</f>
        <v/>
      </c>
      <c r="Q8" s="9">
        <f>IF(C$227=0,0,C8/C$227)</f>
        <v/>
      </c>
      <c r="R8" s="9">
        <f>IF(D$227=0,0,D8/D$227)</f>
        <v/>
      </c>
      <c r="S8" s="9">
        <f>IF(E$227=0,0,E8/E$227)</f>
        <v/>
      </c>
      <c r="T8" s="9">
        <f>IF(F$227=0,0,F8/F$227)</f>
        <v/>
      </c>
      <c r="U8" s="9">
        <f>IF(G$227=0,0,G8/G$227)</f>
        <v/>
      </c>
      <c r="V8" s="9">
        <f>IF(H$227=0,0,H8/H$227)</f>
        <v/>
      </c>
      <c r="W8" s="9">
        <f>IF(I$227=0,0,I8/I$227)</f>
        <v/>
      </c>
      <c r="X8" s="9">
        <f>IF(J$227=0,0,J8/J$227)</f>
        <v/>
      </c>
      <c r="Y8" s="9">
        <f>IF(K$227=0,0,K8/K$227)</f>
        <v/>
      </c>
      <c r="Z8" s="9">
        <f>IF(L$227=0,0,L8/L$227)</f>
        <v/>
      </c>
      <c r="AA8" s="9">
        <f>IF(M$227=0,0,M8/M$227)</f>
        <v/>
      </c>
      <c r="AB8" s="9">
        <f>AVERAGE(P8,Q8,S8)</f>
        <v/>
      </c>
    </row>
    <row r="9">
      <c r="A9" s="6">
        <f>'3_TF'!A9</f>
        <v/>
      </c>
      <c r="B9" s="9">
        <f>'3_TF'!B9*'4_IDF'!$E9</f>
        <v/>
      </c>
      <c r="C9" s="9">
        <f>'3_TF'!C9*'4_IDF'!$E9</f>
        <v/>
      </c>
      <c r="D9" s="9">
        <f>'3_TF'!D9*'4_IDF'!$E9</f>
        <v/>
      </c>
      <c r="E9" s="9">
        <f>'3_TF'!E9*'4_IDF'!$E9</f>
        <v/>
      </c>
      <c r="F9" s="9">
        <f>'3_TF'!F9*'4_IDF'!$E9</f>
        <v/>
      </c>
      <c r="G9" s="9">
        <f>'3_TF'!G9*'4_IDF'!$E9</f>
        <v/>
      </c>
      <c r="H9" s="9">
        <f>'3_TF'!H9*'4_IDF'!$E9</f>
        <v/>
      </c>
      <c r="I9" s="9">
        <f>'3_TF'!I9*'4_IDF'!$E9</f>
        <v/>
      </c>
      <c r="J9" s="9">
        <f>'3_TF'!J9*'4_IDF'!$E9</f>
        <v/>
      </c>
      <c r="K9" s="9">
        <f>'3_TF'!K9*'4_IDF'!$E9</f>
        <v/>
      </c>
      <c r="L9" s="9">
        <f>'3_TF'!L9*'4_IDF'!$E9</f>
        <v/>
      </c>
      <c r="M9" s="9">
        <f>'3_TF'!M9*'4_IDF'!$E9</f>
        <v/>
      </c>
      <c r="O9" s="6">
        <f>A9</f>
        <v/>
      </c>
      <c r="P9" s="9">
        <f>IF(B$227=0,0,B9/B$227)</f>
        <v/>
      </c>
      <c r="Q9" s="9">
        <f>IF(C$227=0,0,C9/C$227)</f>
        <v/>
      </c>
      <c r="R9" s="9">
        <f>IF(D$227=0,0,D9/D$227)</f>
        <v/>
      </c>
      <c r="S9" s="9">
        <f>IF(E$227=0,0,E9/E$227)</f>
        <v/>
      </c>
      <c r="T9" s="9">
        <f>IF(F$227=0,0,F9/F$227)</f>
        <v/>
      </c>
      <c r="U9" s="9">
        <f>IF(G$227=0,0,G9/G$227)</f>
        <v/>
      </c>
      <c r="V9" s="9">
        <f>IF(H$227=0,0,H9/H$227)</f>
        <v/>
      </c>
      <c r="W9" s="9">
        <f>IF(I$227=0,0,I9/I$227)</f>
        <v/>
      </c>
      <c r="X9" s="9">
        <f>IF(J$227=0,0,J9/J$227)</f>
        <v/>
      </c>
      <c r="Y9" s="9">
        <f>IF(K$227=0,0,K9/K$227)</f>
        <v/>
      </c>
      <c r="Z9" s="9">
        <f>IF(L$227=0,0,L9/L$227)</f>
        <v/>
      </c>
      <c r="AA9" s="9">
        <f>IF(M$227=0,0,M9/M$227)</f>
        <v/>
      </c>
      <c r="AB9" s="9">
        <f>AVERAGE(P9,Q9,S9)</f>
        <v/>
      </c>
    </row>
    <row r="10">
      <c r="A10" s="6">
        <f>'3_TF'!A10</f>
        <v/>
      </c>
      <c r="B10" s="9">
        <f>'3_TF'!B10*'4_IDF'!$E10</f>
        <v/>
      </c>
      <c r="C10" s="9">
        <f>'3_TF'!C10*'4_IDF'!$E10</f>
        <v/>
      </c>
      <c r="D10" s="9">
        <f>'3_TF'!D10*'4_IDF'!$E10</f>
        <v/>
      </c>
      <c r="E10" s="9">
        <f>'3_TF'!E10*'4_IDF'!$E10</f>
        <v/>
      </c>
      <c r="F10" s="9">
        <f>'3_TF'!F10*'4_IDF'!$E10</f>
        <v/>
      </c>
      <c r="G10" s="9">
        <f>'3_TF'!G10*'4_IDF'!$E10</f>
        <v/>
      </c>
      <c r="H10" s="9">
        <f>'3_TF'!H10*'4_IDF'!$E10</f>
        <v/>
      </c>
      <c r="I10" s="9">
        <f>'3_TF'!I10*'4_IDF'!$E10</f>
        <v/>
      </c>
      <c r="J10" s="9">
        <f>'3_TF'!J10*'4_IDF'!$E10</f>
        <v/>
      </c>
      <c r="K10" s="9">
        <f>'3_TF'!K10*'4_IDF'!$E10</f>
        <v/>
      </c>
      <c r="L10" s="9">
        <f>'3_TF'!L10*'4_IDF'!$E10</f>
        <v/>
      </c>
      <c r="M10" s="9">
        <f>'3_TF'!M10*'4_IDF'!$E10</f>
        <v/>
      </c>
      <c r="O10" s="6">
        <f>A10</f>
        <v/>
      </c>
      <c r="P10" s="9">
        <f>IF(B$227=0,0,B10/B$227)</f>
        <v/>
      </c>
      <c r="Q10" s="9">
        <f>IF(C$227=0,0,C10/C$227)</f>
        <v/>
      </c>
      <c r="R10" s="9">
        <f>IF(D$227=0,0,D10/D$227)</f>
        <v/>
      </c>
      <c r="S10" s="9">
        <f>IF(E$227=0,0,E10/E$227)</f>
        <v/>
      </c>
      <c r="T10" s="9">
        <f>IF(F$227=0,0,F10/F$227)</f>
        <v/>
      </c>
      <c r="U10" s="9">
        <f>IF(G$227=0,0,G10/G$227)</f>
        <v/>
      </c>
      <c r="V10" s="9">
        <f>IF(H$227=0,0,H10/H$227)</f>
        <v/>
      </c>
      <c r="W10" s="9">
        <f>IF(I$227=0,0,I10/I$227)</f>
        <v/>
      </c>
      <c r="X10" s="9">
        <f>IF(J$227=0,0,J10/J$227)</f>
        <v/>
      </c>
      <c r="Y10" s="9">
        <f>IF(K$227=0,0,K10/K$227)</f>
        <v/>
      </c>
      <c r="Z10" s="9">
        <f>IF(L$227=0,0,L10/L$227)</f>
        <v/>
      </c>
      <c r="AA10" s="9">
        <f>IF(M$227=0,0,M10/M$227)</f>
        <v/>
      </c>
      <c r="AB10" s="9">
        <f>AVERAGE(P10,Q10,S10)</f>
        <v/>
      </c>
    </row>
    <row r="11">
      <c r="A11" s="6">
        <f>'3_TF'!A11</f>
        <v/>
      </c>
      <c r="B11" s="9">
        <f>'3_TF'!B11*'4_IDF'!$E11</f>
        <v/>
      </c>
      <c r="C11" s="9">
        <f>'3_TF'!C11*'4_IDF'!$E11</f>
        <v/>
      </c>
      <c r="D11" s="9">
        <f>'3_TF'!D11*'4_IDF'!$E11</f>
        <v/>
      </c>
      <c r="E11" s="9">
        <f>'3_TF'!E11*'4_IDF'!$E11</f>
        <v/>
      </c>
      <c r="F11" s="9">
        <f>'3_TF'!F11*'4_IDF'!$E11</f>
        <v/>
      </c>
      <c r="G11" s="9">
        <f>'3_TF'!G11*'4_IDF'!$E11</f>
        <v/>
      </c>
      <c r="H11" s="9">
        <f>'3_TF'!H11*'4_IDF'!$E11</f>
        <v/>
      </c>
      <c r="I11" s="9">
        <f>'3_TF'!I11*'4_IDF'!$E11</f>
        <v/>
      </c>
      <c r="J11" s="9">
        <f>'3_TF'!J11*'4_IDF'!$E11</f>
        <v/>
      </c>
      <c r="K11" s="9">
        <f>'3_TF'!K11*'4_IDF'!$E11</f>
        <v/>
      </c>
      <c r="L11" s="9">
        <f>'3_TF'!L11*'4_IDF'!$E11</f>
        <v/>
      </c>
      <c r="M11" s="9">
        <f>'3_TF'!M11*'4_IDF'!$E11</f>
        <v/>
      </c>
      <c r="O11" s="6">
        <f>A11</f>
        <v/>
      </c>
      <c r="P11" s="9">
        <f>IF(B$227=0,0,B11/B$227)</f>
        <v/>
      </c>
      <c r="Q11" s="9">
        <f>IF(C$227=0,0,C11/C$227)</f>
        <v/>
      </c>
      <c r="R11" s="9">
        <f>IF(D$227=0,0,D11/D$227)</f>
        <v/>
      </c>
      <c r="S11" s="9">
        <f>IF(E$227=0,0,E11/E$227)</f>
        <v/>
      </c>
      <c r="T11" s="9">
        <f>IF(F$227=0,0,F11/F$227)</f>
        <v/>
      </c>
      <c r="U11" s="9">
        <f>IF(G$227=0,0,G11/G$227)</f>
        <v/>
      </c>
      <c r="V11" s="9">
        <f>IF(H$227=0,0,H11/H$227)</f>
        <v/>
      </c>
      <c r="W11" s="9">
        <f>IF(I$227=0,0,I11/I$227)</f>
        <v/>
      </c>
      <c r="X11" s="9">
        <f>IF(J$227=0,0,J11/J$227)</f>
        <v/>
      </c>
      <c r="Y11" s="9">
        <f>IF(K$227=0,0,K11/K$227)</f>
        <v/>
      </c>
      <c r="Z11" s="9">
        <f>IF(L$227=0,0,L11/L$227)</f>
        <v/>
      </c>
      <c r="AA11" s="9">
        <f>IF(M$227=0,0,M11/M$227)</f>
        <v/>
      </c>
      <c r="AB11" s="9">
        <f>AVERAGE(P11,Q11,S11)</f>
        <v/>
      </c>
    </row>
    <row r="12">
      <c r="A12" s="6">
        <f>'3_TF'!A12</f>
        <v/>
      </c>
      <c r="B12" s="9">
        <f>'3_TF'!B12*'4_IDF'!$E12</f>
        <v/>
      </c>
      <c r="C12" s="9">
        <f>'3_TF'!C12*'4_IDF'!$E12</f>
        <v/>
      </c>
      <c r="D12" s="9">
        <f>'3_TF'!D12*'4_IDF'!$E12</f>
        <v/>
      </c>
      <c r="E12" s="9">
        <f>'3_TF'!E12*'4_IDF'!$E12</f>
        <v/>
      </c>
      <c r="F12" s="9">
        <f>'3_TF'!F12*'4_IDF'!$E12</f>
        <v/>
      </c>
      <c r="G12" s="9">
        <f>'3_TF'!G12*'4_IDF'!$E12</f>
        <v/>
      </c>
      <c r="H12" s="9">
        <f>'3_TF'!H12*'4_IDF'!$E12</f>
        <v/>
      </c>
      <c r="I12" s="9">
        <f>'3_TF'!I12*'4_IDF'!$E12</f>
        <v/>
      </c>
      <c r="J12" s="9">
        <f>'3_TF'!J12*'4_IDF'!$E12</f>
        <v/>
      </c>
      <c r="K12" s="9">
        <f>'3_TF'!K12*'4_IDF'!$E12</f>
        <v/>
      </c>
      <c r="L12" s="9">
        <f>'3_TF'!L12*'4_IDF'!$E12</f>
        <v/>
      </c>
      <c r="M12" s="9">
        <f>'3_TF'!M12*'4_IDF'!$E12</f>
        <v/>
      </c>
      <c r="O12" s="6">
        <f>A12</f>
        <v/>
      </c>
      <c r="P12" s="9">
        <f>IF(B$227=0,0,B12/B$227)</f>
        <v/>
      </c>
      <c r="Q12" s="9">
        <f>IF(C$227=0,0,C12/C$227)</f>
        <v/>
      </c>
      <c r="R12" s="9">
        <f>IF(D$227=0,0,D12/D$227)</f>
        <v/>
      </c>
      <c r="S12" s="9">
        <f>IF(E$227=0,0,E12/E$227)</f>
        <v/>
      </c>
      <c r="T12" s="9">
        <f>IF(F$227=0,0,F12/F$227)</f>
        <v/>
      </c>
      <c r="U12" s="9">
        <f>IF(G$227=0,0,G12/G$227)</f>
        <v/>
      </c>
      <c r="V12" s="9">
        <f>IF(H$227=0,0,H12/H$227)</f>
        <v/>
      </c>
      <c r="W12" s="9">
        <f>IF(I$227=0,0,I12/I$227)</f>
        <v/>
      </c>
      <c r="X12" s="9">
        <f>IF(J$227=0,0,J12/J$227)</f>
        <v/>
      </c>
      <c r="Y12" s="9">
        <f>IF(K$227=0,0,K12/K$227)</f>
        <v/>
      </c>
      <c r="Z12" s="9">
        <f>IF(L$227=0,0,L12/L$227)</f>
        <v/>
      </c>
      <c r="AA12" s="9">
        <f>IF(M$227=0,0,M12/M$227)</f>
        <v/>
      </c>
      <c r="AB12" s="9">
        <f>AVERAGE(P12,Q12,S12)</f>
        <v/>
      </c>
    </row>
    <row r="13">
      <c r="A13" s="6">
        <f>'3_TF'!A13</f>
        <v/>
      </c>
      <c r="B13" s="9">
        <f>'3_TF'!B13*'4_IDF'!$E13</f>
        <v/>
      </c>
      <c r="C13" s="9">
        <f>'3_TF'!C13*'4_IDF'!$E13</f>
        <v/>
      </c>
      <c r="D13" s="9">
        <f>'3_TF'!D13*'4_IDF'!$E13</f>
        <v/>
      </c>
      <c r="E13" s="9">
        <f>'3_TF'!E13*'4_IDF'!$E13</f>
        <v/>
      </c>
      <c r="F13" s="9">
        <f>'3_TF'!F13*'4_IDF'!$E13</f>
        <v/>
      </c>
      <c r="G13" s="9">
        <f>'3_TF'!G13*'4_IDF'!$E13</f>
        <v/>
      </c>
      <c r="H13" s="9">
        <f>'3_TF'!H13*'4_IDF'!$E13</f>
        <v/>
      </c>
      <c r="I13" s="9">
        <f>'3_TF'!I13*'4_IDF'!$E13</f>
        <v/>
      </c>
      <c r="J13" s="9">
        <f>'3_TF'!J13*'4_IDF'!$E13</f>
        <v/>
      </c>
      <c r="K13" s="9">
        <f>'3_TF'!K13*'4_IDF'!$E13</f>
        <v/>
      </c>
      <c r="L13" s="9">
        <f>'3_TF'!L13*'4_IDF'!$E13</f>
        <v/>
      </c>
      <c r="M13" s="9">
        <f>'3_TF'!M13*'4_IDF'!$E13</f>
        <v/>
      </c>
      <c r="O13" s="6">
        <f>A13</f>
        <v/>
      </c>
      <c r="P13" s="9">
        <f>IF(B$227=0,0,B13/B$227)</f>
        <v/>
      </c>
      <c r="Q13" s="9">
        <f>IF(C$227=0,0,C13/C$227)</f>
        <v/>
      </c>
      <c r="R13" s="9">
        <f>IF(D$227=0,0,D13/D$227)</f>
        <v/>
      </c>
      <c r="S13" s="9">
        <f>IF(E$227=0,0,E13/E$227)</f>
        <v/>
      </c>
      <c r="T13" s="9">
        <f>IF(F$227=0,0,F13/F$227)</f>
        <v/>
      </c>
      <c r="U13" s="9">
        <f>IF(G$227=0,0,G13/G$227)</f>
        <v/>
      </c>
      <c r="V13" s="9">
        <f>IF(H$227=0,0,H13/H$227)</f>
        <v/>
      </c>
      <c r="W13" s="9">
        <f>IF(I$227=0,0,I13/I$227)</f>
        <v/>
      </c>
      <c r="X13" s="9">
        <f>IF(J$227=0,0,J13/J$227)</f>
        <v/>
      </c>
      <c r="Y13" s="9">
        <f>IF(K$227=0,0,K13/K$227)</f>
        <v/>
      </c>
      <c r="Z13" s="9">
        <f>IF(L$227=0,0,L13/L$227)</f>
        <v/>
      </c>
      <c r="AA13" s="9">
        <f>IF(M$227=0,0,M13/M$227)</f>
        <v/>
      </c>
      <c r="AB13" s="9">
        <f>AVERAGE(P13,Q13,S13)</f>
        <v/>
      </c>
    </row>
    <row r="14">
      <c r="A14" s="6">
        <f>'3_TF'!A14</f>
        <v/>
      </c>
      <c r="B14" s="9">
        <f>'3_TF'!B14*'4_IDF'!$E14</f>
        <v/>
      </c>
      <c r="C14" s="9">
        <f>'3_TF'!C14*'4_IDF'!$E14</f>
        <v/>
      </c>
      <c r="D14" s="9">
        <f>'3_TF'!D14*'4_IDF'!$E14</f>
        <v/>
      </c>
      <c r="E14" s="9">
        <f>'3_TF'!E14*'4_IDF'!$E14</f>
        <v/>
      </c>
      <c r="F14" s="9">
        <f>'3_TF'!F14*'4_IDF'!$E14</f>
        <v/>
      </c>
      <c r="G14" s="9">
        <f>'3_TF'!G14*'4_IDF'!$E14</f>
        <v/>
      </c>
      <c r="H14" s="9">
        <f>'3_TF'!H14*'4_IDF'!$E14</f>
        <v/>
      </c>
      <c r="I14" s="9">
        <f>'3_TF'!I14*'4_IDF'!$E14</f>
        <v/>
      </c>
      <c r="J14" s="9">
        <f>'3_TF'!J14*'4_IDF'!$E14</f>
        <v/>
      </c>
      <c r="K14" s="9">
        <f>'3_TF'!K14*'4_IDF'!$E14</f>
        <v/>
      </c>
      <c r="L14" s="9">
        <f>'3_TF'!L14*'4_IDF'!$E14</f>
        <v/>
      </c>
      <c r="M14" s="9">
        <f>'3_TF'!M14*'4_IDF'!$E14</f>
        <v/>
      </c>
      <c r="O14" s="6">
        <f>A14</f>
        <v/>
      </c>
      <c r="P14" s="9">
        <f>IF(B$227=0,0,B14/B$227)</f>
        <v/>
      </c>
      <c r="Q14" s="9">
        <f>IF(C$227=0,0,C14/C$227)</f>
        <v/>
      </c>
      <c r="R14" s="9">
        <f>IF(D$227=0,0,D14/D$227)</f>
        <v/>
      </c>
      <c r="S14" s="9">
        <f>IF(E$227=0,0,E14/E$227)</f>
        <v/>
      </c>
      <c r="T14" s="9">
        <f>IF(F$227=0,0,F14/F$227)</f>
        <v/>
      </c>
      <c r="U14" s="9">
        <f>IF(G$227=0,0,G14/G$227)</f>
        <v/>
      </c>
      <c r="V14" s="9">
        <f>IF(H$227=0,0,H14/H$227)</f>
        <v/>
      </c>
      <c r="W14" s="9">
        <f>IF(I$227=0,0,I14/I$227)</f>
        <v/>
      </c>
      <c r="X14" s="9">
        <f>IF(J$227=0,0,J14/J$227)</f>
        <v/>
      </c>
      <c r="Y14" s="9">
        <f>IF(K$227=0,0,K14/K$227)</f>
        <v/>
      </c>
      <c r="Z14" s="9">
        <f>IF(L$227=0,0,L14/L$227)</f>
        <v/>
      </c>
      <c r="AA14" s="9">
        <f>IF(M$227=0,0,M14/M$227)</f>
        <v/>
      </c>
      <c r="AB14" s="9">
        <f>AVERAGE(P14,Q14,S14)</f>
        <v/>
      </c>
    </row>
    <row r="15">
      <c r="A15" s="6">
        <f>'3_TF'!A15</f>
        <v/>
      </c>
      <c r="B15" s="9">
        <f>'3_TF'!B15*'4_IDF'!$E15</f>
        <v/>
      </c>
      <c r="C15" s="9">
        <f>'3_TF'!C15*'4_IDF'!$E15</f>
        <v/>
      </c>
      <c r="D15" s="9">
        <f>'3_TF'!D15*'4_IDF'!$E15</f>
        <v/>
      </c>
      <c r="E15" s="9">
        <f>'3_TF'!E15*'4_IDF'!$E15</f>
        <v/>
      </c>
      <c r="F15" s="9">
        <f>'3_TF'!F15*'4_IDF'!$E15</f>
        <v/>
      </c>
      <c r="G15" s="9">
        <f>'3_TF'!G15*'4_IDF'!$E15</f>
        <v/>
      </c>
      <c r="H15" s="9">
        <f>'3_TF'!H15*'4_IDF'!$E15</f>
        <v/>
      </c>
      <c r="I15" s="9">
        <f>'3_TF'!I15*'4_IDF'!$E15</f>
        <v/>
      </c>
      <c r="J15" s="9">
        <f>'3_TF'!J15*'4_IDF'!$E15</f>
        <v/>
      </c>
      <c r="K15" s="9">
        <f>'3_TF'!K15*'4_IDF'!$E15</f>
        <v/>
      </c>
      <c r="L15" s="9">
        <f>'3_TF'!L15*'4_IDF'!$E15</f>
        <v/>
      </c>
      <c r="M15" s="9">
        <f>'3_TF'!M15*'4_IDF'!$E15</f>
        <v/>
      </c>
      <c r="O15" s="6">
        <f>A15</f>
        <v/>
      </c>
      <c r="P15" s="9">
        <f>IF(B$227=0,0,B15/B$227)</f>
        <v/>
      </c>
      <c r="Q15" s="9">
        <f>IF(C$227=0,0,C15/C$227)</f>
        <v/>
      </c>
      <c r="R15" s="9">
        <f>IF(D$227=0,0,D15/D$227)</f>
        <v/>
      </c>
      <c r="S15" s="9">
        <f>IF(E$227=0,0,E15/E$227)</f>
        <v/>
      </c>
      <c r="T15" s="9">
        <f>IF(F$227=0,0,F15/F$227)</f>
        <v/>
      </c>
      <c r="U15" s="9">
        <f>IF(G$227=0,0,G15/G$227)</f>
        <v/>
      </c>
      <c r="V15" s="9">
        <f>IF(H$227=0,0,H15/H$227)</f>
        <v/>
      </c>
      <c r="W15" s="9">
        <f>IF(I$227=0,0,I15/I$227)</f>
        <v/>
      </c>
      <c r="X15" s="9">
        <f>IF(J$227=0,0,J15/J$227)</f>
        <v/>
      </c>
      <c r="Y15" s="9">
        <f>IF(K$227=0,0,K15/K$227)</f>
        <v/>
      </c>
      <c r="Z15" s="9">
        <f>IF(L$227=0,0,L15/L$227)</f>
        <v/>
      </c>
      <c r="AA15" s="9">
        <f>IF(M$227=0,0,M15/M$227)</f>
        <v/>
      </c>
      <c r="AB15" s="9">
        <f>AVERAGE(P15,Q15,S15)</f>
        <v/>
      </c>
    </row>
    <row r="16">
      <c r="A16" s="6">
        <f>'3_TF'!A16</f>
        <v/>
      </c>
      <c r="B16" s="9">
        <f>'3_TF'!B16*'4_IDF'!$E16</f>
        <v/>
      </c>
      <c r="C16" s="9">
        <f>'3_TF'!C16*'4_IDF'!$E16</f>
        <v/>
      </c>
      <c r="D16" s="9">
        <f>'3_TF'!D16*'4_IDF'!$E16</f>
        <v/>
      </c>
      <c r="E16" s="9">
        <f>'3_TF'!E16*'4_IDF'!$E16</f>
        <v/>
      </c>
      <c r="F16" s="9">
        <f>'3_TF'!F16*'4_IDF'!$E16</f>
        <v/>
      </c>
      <c r="G16" s="9">
        <f>'3_TF'!G16*'4_IDF'!$E16</f>
        <v/>
      </c>
      <c r="H16" s="9">
        <f>'3_TF'!H16*'4_IDF'!$E16</f>
        <v/>
      </c>
      <c r="I16" s="9">
        <f>'3_TF'!I16*'4_IDF'!$E16</f>
        <v/>
      </c>
      <c r="J16" s="9">
        <f>'3_TF'!J16*'4_IDF'!$E16</f>
        <v/>
      </c>
      <c r="K16" s="9">
        <f>'3_TF'!K16*'4_IDF'!$E16</f>
        <v/>
      </c>
      <c r="L16" s="9">
        <f>'3_TF'!L16*'4_IDF'!$E16</f>
        <v/>
      </c>
      <c r="M16" s="9">
        <f>'3_TF'!M16*'4_IDF'!$E16</f>
        <v/>
      </c>
      <c r="O16" s="6">
        <f>A16</f>
        <v/>
      </c>
      <c r="P16" s="9">
        <f>IF(B$227=0,0,B16/B$227)</f>
        <v/>
      </c>
      <c r="Q16" s="9">
        <f>IF(C$227=0,0,C16/C$227)</f>
        <v/>
      </c>
      <c r="R16" s="9">
        <f>IF(D$227=0,0,D16/D$227)</f>
        <v/>
      </c>
      <c r="S16" s="9">
        <f>IF(E$227=0,0,E16/E$227)</f>
        <v/>
      </c>
      <c r="T16" s="9">
        <f>IF(F$227=0,0,F16/F$227)</f>
        <v/>
      </c>
      <c r="U16" s="9">
        <f>IF(G$227=0,0,G16/G$227)</f>
        <v/>
      </c>
      <c r="V16" s="9">
        <f>IF(H$227=0,0,H16/H$227)</f>
        <v/>
      </c>
      <c r="W16" s="9">
        <f>IF(I$227=0,0,I16/I$227)</f>
        <v/>
      </c>
      <c r="X16" s="9">
        <f>IF(J$227=0,0,J16/J$227)</f>
        <v/>
      </c>
      <c r="Y16" s="9">
        <f>IF(K$227=0,0,K16/K$227)</f>
        <v/>
      </c>
      <c r="Z16" s="9">
        <f>IF(L$227=0,0,L16/L$227)</f>
        <v/>
      </c>
      <c r="AA16" s="9">
        <f>IF(M$227=0,0,M16/M$227)</f>
        <v/>
      </c>
      <c r="AB16" s="9">
        <f>AVERAGE(P16,Q16,S16)</f>
        <v/>
      </c>
    </row>
    <row r="17">
      <c r="A17" s="6">
        <f>'3_TF'!A17</f>
        <v/>
      </c>
      <c r="B17" s="9">
        <f>'3_TF'!B17*'4_IDF'!$E17</f>
        <v/>
      </c>
      <c r="C17" s="9">
        <f>'3_TF'!C17*'4_IDF'!$E17</f>
        <v/>
      </c>
      <c r="D17" s="9">
        <f>'3_TF'!D17*'4_IDF'!$E17</f>
        <v/>
      </c>
      <c r="E17" s="9">
        <f>'3_TF'!E17*'4_IDF'!$E17</f>
        <v/>
      </c>
      <c r="F17" s="9">
        <f>'3_TF'!F17*'4_IDF'!$E17</f>
        <v/>
      </c>
      <c r="G17" s="9">
        <f>'3_TF'!G17*'4_IDF'!$E17</f>
        <v/>
      </c>
      <c r="H17" s="9">
        <f>'3_TF'!H17*'4_IDF'!$E17</f>
        <v/>
      </c>
      <c r="I17" s="9">
        <f>'3_TF'!I17*'4_IDF'!$E17</f>
        <v/>
      </c>
      <c r="J17" s="9">
        <f>'3_TF'!J17*'4_IDF'!$E17</f>
        <v/>
      </c>
      <c r="K17" s="9">
        <f>'3_TF'!K17*'4_IDF'!$E17</f>
        <v/>
      </c>
      <c r="L17" s="9">
        <f>'3_TF'!L17*'4_IDF'!$E17</f>
        <v/>
      </c>
      <c r="M17" s="9">
        <f>'3_TF'!M17*'4_IDF'!$E17</f>
        <v/>
      </c>
      <c r="O17" s="6">
        <f>A17</f>
        <v/>
      </c>
      <c r="P17" s="9">
        <f>IF(B$227=0,0,B17/B$227)</f>
        <v/>
      </c>
      <c r="Q17" s="9">
        <f>IF(C$227=0,0,C17/C$227)</f>
        <v/>
      </c>
      <c r="R17" s="9">
        <f>IF(D$227=0,0,D17/D$227)</f>
        <v/>
      </c>
      <c r="S17" s="9">
        <f>IF(E$227=0,0,E17/E$227)</f>
        <v/>
      </c>
      <c r="T17" s="9">
        <f>IF(F$227=0,0,F17/F$227)</f>
        <v/>
      </c>
      <c r="U17" s="9">
        <f>IF(G$227=0,0,G17/G$227)</f>
        <v/>
      </c>
      <c r="V17" s="9">
        <f>IF(H$227=0,0,H17/H$227)</f>
        <v/>
      </c>
      <c r="W17" s="9">
        <f>IF(I$227=0,0,I17/I$227)</f>
        <v/>
      </c>
      <c r="X17" s="9">
        <f>IF(J$227=0,0,J17/J$227)</f>
        <v/>
      </c>
      <c r="Y17" s="9">
        <f>IF(K$227=0,0,K17/K$227)</f>
        <v/>
      </c>
      <c r="Z17" s="9">
        <f>IF(L$227=0,0,L17/L$227)</f>
        <v/>
      </c>
      <c r="AA17" s="9">
        <f>IF(M$227=0,0,M17/M$227)</f>
        <v/>
      </c>
      <c r="AB17" s="9">
        <f>AVERAGE(P17,Q17,S17)</f>
        <v/>
      </c>
    </row>
    <row r="18">
      <c r="A18" s="6">
        <f>'3_TF'!A18</f>
        <v/>
      </c>
      <c r="B18" s="9">
        <f>'3_TF'!B18*'4_IDF'!$E18</f>
        <v/>
      </c>
      <c r="C18" s="9">
        <f>'3_TF'!C18*'4_IDF'!$E18</f>
        <v/>
      </c>
      <c r="D18" s="9">
        <f>'3_TF'!D18*'4_IDF'!$E18</f>
        <v/>
      </c>
      <c r="E18" s="9">
        <f>'3_TF'!E18*'4_IDF'!$E18</f>
        <v/>
      </c>
      <c r="F18" s="9">
        <f>'3_TF'!F18*'4_IDF'!$E18</f>
        <v/>
      </c>
      <c r="G18" s="9">
        <f>'3_TF'!G18*'4_IDF'!$E18</f>
        <v/>
      </c>
      <c r="H18" s="9">
        <f>'3_TF'!H18*'4_IDF'!$E18</f>
        <v/>
      </c>
      <c r="I18" s="9">
        <f>'3_TF'!I18*'4_IDF'!$E18</f>
        <v/>
      </c>
      <c r="J18" s="9">
        <f>'3_TF'!J18*'4_IDF'!$E18</f>
        <v/>
      </c>
      <c r="K18" s="9">
        <f>'3_TF'!K18*'4_IDF'!$E18</f>
        <v/>
      </c>
      <c r="L18" s="9">
        <f>'3_TF'!L18*'4_IDF'!$E18</f>
        <v/>
      </c>
      <c r="M18" s="9">
        <f>'3_TF'!M18*'4_IDF'!$E18</f>
        <v/>
      </c>
      <c r="O18" s="6">
        <f>A18</f>
        <v/>
      </c>
      <c r="P18" s="9">
        <f>IF(B$227=0,0,B18/B$227)</f>
        <v/>
      </c>
      <c r="Q18" s="9">
        <f>IF(C$227=0,0,C18/C$227)</f>
        <v/>
      </c>
      <c r="R18" s="9">
        <f>IF(D$227=0,0,D18/D$227)</f>
        <v/>
      </c>
      <c r="S18" s="9">
        <f>IF(E$227=0,0,E18/E$227)</f>
        <v/>
      </c>
      <c r="T18" s="9">
        <f>IF(F$227=0,0,F18/F$227)</f>
        <v/>
      </c>
      <c r="U18" s="9">
        <f>IF(G$227=0,0,G18/G$227)</f>
        <v/>
      </c>
      <c r="V18" s="9">
        <f>IF(H$227=0,0,H18/H$227)</f>
        <v/>
      </c>
      <c r="W18" s="9">
        <f>IF(I$227=0,0,I18/I$227)</f>
        <v/>
      </c>
      <c r="X18" s="9">
        <f>IF(J$227=0,0,J18/J$227)</f>
        <v/>
      </c>
      <c r="Y18" s="9">
        <f>IF(K$227=0,0,K18/K$227)</f>
        <v/>
      </c>
      <c r="Z18" s="9">
        <f>IF(L$227=0,0,L18/L$227)</f>
        <v/>
      </c>
      <c r="AA18" s="9">
        <f>IF(M$227=0,0,M18/M$227)</f>
        <v/>
      </c>
      <c r="AB18" s="9">
        <f>AVERAGE(P18,Q18,S18)</f>
        <v/>
      </c>
    </row>
    <row r="19">
      <c r="A19" s="6">
        <f>'3_TF'!A19</f>
        <v/>
      </c>
      <c r="B19" s="9">
        <f>'3_TF'!B19*'4_IDF'!$E19</f>
        <v/>
      </c>
      <c r="C19" s="9">
        <f>'3_TF'!C19*'4_IDF'!$E19</f>
        <v/>
      </c>
      <c r="D19" s="9">
        <f>'3_TF'!D19*'4_IDF'!$E19</f>
        <v/>
      </c>
      <c r="E19" s="9">
        <f>'3_TF'!E19*'4_IDF'!$E19</f>
        <v/>
      </c>
      <c r="F19" s="9">
        <f>'3_TF'!F19*'4_IDF'!$E19</f>
        <v/>
      </c>
      <c r="G19" s="9">
        <f>'3_TF'!G19*'4_IDF'!$E19</f>
        <v/>
      </c>
      <c r="H19" s="9">
        <f>'3_TF'!H19*'4_IDF'!$E19</f>
        <v/>
      </c>
      <c r="I19" s="9">
        <f>'3_TF'!I19*'4_IDF'!$E19</f>
        <v/>
      </c>
      <c r="J19" s="9">
        <f>'3_TF'!J19*'4_IDF'!$E19</f>
        <v/>
      </c>
      <c r="K19" s="9">
        <f>'3_TF'!K19*'4_IDF'!$E19</f>
        <v/>
      </c>
      <c r="L19" s="9">
        <f>'3_TF'!L19*'4_IDF'!$E19</f>
        <v/>
      </c>
      <c r="M19" s="9">
        <f>'3_TF'!M19*'4_IDF'!$E19</f>
        <v/>
      </c>
      <c r="O19" s="6">
        <f>A19</f>
        <v/>
      </c>
      <c r="P19" s="9">
        <f>IF(B$227=0,0,B19/B$227)</f>
        <v/>
      </c>
      <c r="Q19" s="9">
        <f>IF(C$227=0,0,C19/C$227)</f>
        <v/>
      </c>
      <c r="R19" s="9">
        <f>IF(D$227=0,0,D19/D$227)</f>
        <v/>
      </c>
      <c r="S19" s="9">
        <f>IF(E$227=0,0,E19/E$227)</f>
        <v/>
      </c>
      <c r="T19" s="9">
        <f>IF(F$227=0,0,F19/F$227)</f>
        <v/>
      </c>
      <c r="U19" s="9">
        <f>IF(G$227=0,0,G19/G$227)</f>
        <v/>
      </c>
      <c r="V19" s="9">
        <f>IF(H$227=0,0,H19/H$227)</f>
        <v/>
      </c>
      <c r="W19" s="9">
        <f>IF(I$227=0,0,I19/I$227)</f>
        <v/>
      </c>
      <c r="X19" s="9">
        <f>IF(J$227=0,0,J19/J$227)</f>
        <v/>
      </c>
      <c r="Y19" s="9">
        <f>IF(K$227=0,0,K19/K$227)</f>
        <v/>
      </c>
      <c r="Z19" s="9">
        <f>IF(L$227=0,0,L19/L$227)</f>
        <v/>
      </c>
      <c r="AA19" s="9">
        <f>IF(M$227=0,0,M19/M$227)</f>
        <v/>
      </c>
      <c r="AB19" s="9">
        <f>AVERAGE(P19,Q19,S19)</f>
        <v/>
      </c>
    </row>
    <row r="20">
      <c r="A20" s="6">
        <f>'3_TF'!A20</f>
        <v/>
      </c>
      <c r="B20" s="9">
        <f>'3_TF'!B20*'4_IDF'!$E20</f>
        <v/>
      </c>
      <c r="C20" s="9">
        <f>'3_TF'!C20*'4_IDF'!$E20</f>
        <v/>
      </c>
      <c r="D20" s="9">
        <f>'3_TF'!D20*'4_IDF'!$E20</f>
        <v/>
      </c>
      <c r="E20" s="9">
        <f>'3_TF'!E20*'4_IDF'!$E20</f>
        <v/>
      </c>
      <c r="F20" s="9">
        <f>'3_TF'!F20*'4_IDF'!$E20</f>
        <v/>
      </c>
      <c r="G20" s="9">
        <f>'3_TF'!G20*'4_IDF'!$E20</f>
        <v/>
      </c>
      <c r="H20" s="9">
        <f>'3_TF'!H20*'4_IDF'!$E20</f>
        <v/>
      </c>
      <c r="I20" s="9">
        <f>'3_TF'!I20*'4_IDF'!$E20</f>
        <v/>
      </c>
      <c r="J20" s="9">
        <f>'3_TF'!J20*'4_IDF'!$E20</f>
        <v/>
      </c>
      <c r="K20" s="9">
        <f>'3_TF'!K20*'4_IDF'!$E20</f>
        <v/>
      </c>
      <c r="L20" s="9">
        <f>'3_TF'!L20*'4_IDF'!$E20</f>
        <v/>
      </c>
      <c r="M20" s="9">
        <f>'3_TF'!M20*'4_IDF'!$E20</f>
        <v/>
      </c>
      <c r="O20" s="6">
        <f>A20</f>
        <v/>
      </c>
      <c r="P20" s="9">
        <f>IF(B$227=0,0,B20/B$227)</f>
        <v/>
      </c>
      <c r="Q20" s="9">
        <f>IF(C$227=0,0,C20/C$227)</f>
        <v/>
      </c>
      <c r="R20" s="9">
        <f>IF(D$227=0,0,D20/D$227)</f>
        <v/>
      </c>
      <c r="S20" s="9">
        <f>IF(E$227=0,0,E20/E$227)</f>
        <v/>
      </c>
      <c r="T20" s="9">
        <f>IF(F$227=0,0,F20/F$227)</f>
        <v/>
      </c>
      <c r="U20" s="9">
        <f>IF(G$227=0,0,G20/G$227)</f>
        <v/>
      </c>
      <c r="V20" s="9">
        <f>IF(H$227=0,0,H20/H$227)</f>
        <v/>
      </c>
      <c r="W20" s="9">
        <f>IF(I$227=0,0,I20/I$227)</f>
        <v/>
      </c>
      <c r="X20" s="9">
        <f>IF(J$227=0,0,J20/J$227)</f>
        <v/>
      </c>
      <c r="Y20" s="9">
        <f>IF(K$227=0,0,K20/K$227)</f>
        <v/>
      </c>
      <c r="Z20" s="9">
        <f>IF(L$227=0,0,L20/L$227)</f>
        <v/>
      </c>
      <c r="AA20" s="9">
        <f>IF(M$227=0,0,M20/M$227)</f>
        <v/>
      </c>
      <c r="AB20" s="9">
        <f>AVERAGE(P20,Q20,S20)</f>
        <v/>
      </c>
    </row>
    <row r="21">
      <c r="A21" s="6">
        <f>'3_TF'!A21</f>
        <v/>
      </c>
      <c r="B21" s="9">
        <f>'3_TF'!B21*'4_IDF'!$E21</f>
        <v/>
      </c>
      <c r="C21" s="9">
        <f>'3_TF'!C21*'4_IDF'!$E21</f>
        <v/>
      </c>
      <c r="D21" s="9">
        <f>'3_TF'!D21*'4_IDF'!$E21</f>
        <v/>
      </c>
      <c r="E21" s="9">
        <f>'3_TF'!E21*'4_IDF'!$E21</f>
        <v/>
      </c>
      <c r="F21" s="9">
        <f>'3_TF'!F21*'4_IDF'!$E21</f>
        <v/>
      </c>
      <c r="G21" s="9">
        <f>'3_TF'!G21*'4_IDF'!$E21</f>
        <v/>
      </c>
      <c r="H21" s="9">
        <f>'3_TF'!H21*'4_IDF'!$E21</f>
        <v/>
      </c>
      <c r="I21" s="9">
        <f>'3_TF'!I21*'4_IDF'!$E21</f>
        <v/>
      </c>
      <c r="J21" s="9">
        <f>'3_TF'!J21*'4_IDF'!$E21</f>
        <v/>
      </c>
      <c r="K21" s="9">
        <f>'3_TF'!K21*'4_IDF'!$E21</f>
        <v/>
      </c>
      <c r="L21" s="9">
        <f>'3_TF'!L21*'4_IDF'!$E21</f>
        <v/>
      </c>
      <c r="M21" s="9">
        <f>'3_TF'!M21*'4_IDF'!$E21</f>
        <v/>
      </c>
      <c r="O21" s="6">
        <f>A21</f>
        <v/>
      </c>
      <c r="P21" s="9">
        <f>IF(B$227=0,0,B21/B$227)</f>
        <v/>
      </c>
      <c r="Q21" s="9">
        <f>IF(C$227=0,0,C21/C$227)</f>
        <v/>
      </c>
      <c r="R21" s="9">
        <f>IF(D$227=0,0,D21/D$227)</f>
        <v/>
      </c>
      <c r="S21" s="9">
        <f>IF(E$227=0,0,E21/E$227)</f>
        <v/>
      </c>
      <c r="T21" s="9">
        <f>IF(F$227=0,0,F21/F$227)</f>
        <v/>
      </c>
      <c r="U21" s="9">
        <f>IF(G$227=0,0,G21/G$227)</f>
        <v/>
      </c>
      <c r="V21" s="9">
        <f>IF(H$227=0,0,H21/H$227)</f>
        <v/>
      </c>
      <c r="W21" s="9">
        <f>IF(I$227=0,0,I21/I$227)</f>
        <v/>
      </c>
      <c r="X21" s="9">
        <f>IF(J$227=0,0,J21/J$227)</f>
        <v/>
      </c>
      <c r="Y21" s="9">
        <f>IF(K$227=0,0,K21/K$227)</f>
        <v/>
      </c>
      <c r="Z21" s="9">
        <f>IF(L$227=0,0,L21/L$227)</f>
        <v/>
      </c>
      <c r="AA21" s="9">
        <f>IF(M$227=0,0,M21/M$227)</f>
        <v/>
      </c>
      <c r="AB21" s="9">
        <f>AVERAGE(P21,Q21,S21)</f>
        <v/>
      </c>
    </row>
    <row r="22">
      <c r="A22" s="6">
        <f>'3_TF'!A22</f>
        <v/>
      </c>
      <c r="B22" s="9">
        <f>'3_TF'!B22*'4_IDF'!$E22</f>
        <v/>
      </c>
      <c r="C22" s="9">
        <f>'3_TF'!C22*'4_IDF'!$E22</f>
        <v/>
      </c>
      <c r="D22" s="9">
        <f>'3_TF'!D22*'4_IDF'!$E22</f>
        <v/>
      </c>
      <c r="E22" s="9">
        <f>'3_TF'!E22*'4_IDF'!$E22</f>
        <v/>
      </c>
      <c r="F22" s="9">
        <f>'3_TF'!F22*'4_IDF'!$E22</f>
        <v/>
      </c>
      <c r="G22" s="9">
        <f>'3_TF'!G22*'4_IDF'!$E22</f>
        <v/>
      </c>
      <c r="H22" s="9">
        <f>'3_TF'!H22*'4_IDF'!$E22</f>
        <v/>
      </c>
      <c r="I22" s="9">
        <f>'3_TF'!I22*'4_IDF'!$E22</f>
        <v/>
      </c>
      <c r="J22" s="9">
        <f>'3_TF'!J22*'4_IDF'!$E22</f>
        <v/>
      </c>
      <c r="K22" s="9">
        <f>'3_TF'!K22*'4_IDF'!$E22</f>
        <v/>
      </c>
      <c r="L22" s="9">
        <f>'3_TF'!L22*'4_IDF'!$E22</f>
        <v/>
      </c>
      <c r="M22" s="9">
        <f>'3_TF'!M22*'4_IDF'!$E22</f>
        <v/>
      </c>
      <c r="O22" s="6">
        <f>A22</f>
        <v/>
      </c>
      <c r="P22" s="9">
        <f>IF(B$227=0,0,B22/B$227)</f>
        <v/>
      </c>
      <c r="Q22" s="9">
        <f>IF(C$227=0,0,C22/C$227)</f>
        <v/>
      </c>
      <c r="R22" s="9">
        <f>IF(D$227=0,0,D22/D$227)</f>
        <v/>
      </c>
      <c r="S22" s="9">
        <f>IF(E$227=0,0,E22/E$227)</f>
        <v/>
      </c>
      <c r="T22" s="9">
        <f>IF(F$227=0,0,F22/F$227)</f>
        <v/>
      </c>
      <c r="U22" s="9">
        <f>IF(G$227=0,0,G22/G$227)</f>
        <v/>
      </c>
      <c r="V22" s="9">
        <f>IF(H$227=0,0,H22/H$227)</f>
        <v/>
      </c>
      <c r="W22" s="9">
        <f>IF(I$227=0,0,I22/I$227)</f>
        <v/>
      </c>
      <c r="X22" s="9">
        <f>IF(J$227=0,0,J22/J$227)</f>
        <v/>
      </c>
      <c r="Y22" s="9">
        <f>IF(K$227=0,0,K22/K$227)</f>
        <v/>
      </c>
      <c r="Z22" s="9">
        <f>IF(L$227=0,0,L22/L$227)</f>
        <v/>
      </c>
      <c r="AA22" s="9">
        <f>IF(M$227=0,0,M22/M$227)</f>
        <v/>
      </c>
      <c r="AB22" s="9">
        <f>AVERAGE(P22,Q22,S22)</f>
        <v/>
      </c>
    </row>
    <row r="23">
      <c r="A23" s="6">
        <f>'3_TF'!A23</f>
        <v/>
      </c>
      <c r="B23" s="9">
        <f>'3_TF'!B23*'4_IDF'!$E23</f>
        <v/>
      </c>
      <c r="C23" s="9">
        <f>'3_TF'!C23*'4_IDF'!$E23</f>
        <v/>
      </c>
      <c r="D23" s="9">
        <f>'3_TF'!D23*'4_IDF'!$E23</f>
        <v/>
      </c>
      <c r="E23" s="9">
        <f>'3_TF'!E23*'4_IDF'!$E23</f>
        <v/>
      </c>
      <c r="F23" s="9">
        <f>'3_TF'!F23*'4_IDF'!$E23</f>
        <v/>
      </c>
      <c r="G23" s="9">
        <f>'3_TF'!G23*'4_IDF'!$E23</f>
        <v/>
      </c>
      <c r="H23" s="9">
        <f>'3_TF'!H23*'4_IDF'!$E23</f>
        <v/>
      </c>
      <c r="I23" s="9">
        <f>'3_TF'!I23*'4_IDF'!$E23</f>
        <v/>
      </c>
      <c r="J23" s="9">
        <f>'3_TF'!J23*'4_IDF'!$E23</f>
        <v/>
      </c>
      <c r="K23" s="9">
        <f>'3_TF'!K23*'4_IDF'!$E23</f>
        <v/>
      </c>
      <c r="L23" s="9">
        <f>'3_TF'!L23*'4_IDF'!$E23</f>
        <v/>
      </c>
      <c r="M23" s="9">
        <f>'3_TF'!M23*'4_IDF'!$E23</f>
        <v/>
      </c>
      <c r="O23" s="6">
        <f>A23</f>
        <v/>
      </c>
      <c r="P23" s="9">
        <f>IF(B$227=0,0,B23/B$227)</f>
        <v/>
      </c>
      <c r="Q23" s="9">
        <f>IF(C$227=0,0,C23/C$227)</f>
        <v/>
      </c>
      <c r="R23" s="9">
        <f>IF(D$227=0,0,D23/D$227)</f>
        <v/>
      </c>
      <c r="S23" s="9">
        <f>IF(E$227=0,0,E23/E$227)</f>
        <v/>
      </c>
      <c r="T23" s="9">
        <f>IF(F$227=0,0,F23/F$227)</f>
        <v/>
      </c>
      <c r="U23" s="9">
        <f>IF(G$227=0,0,G23/G$227)</f>
        <v/>
      </c>
      <c r="V23" s="9">
        <f>IF(H$227=0,0,H23/H$227)</f>
        <v/>
      </c>
      <c r="W23" s="9">
        <f>IF(I$227=0,0,I23/I$227)</f>
        <v/>
      </c>
      <c r="X23" s="9">
        <f>IF(J$227=0,0,J23/J$227)</f>
        <v/>
      </c>
      <c r="Y23" s="9">
        <f>IF(K$227=0,0,K23/K$227)</f>
        <v/>
      </c>
      <c r="Z23" s="9">
        <f>IF(L$227=0,0,L23/L$227)</f>
        <v/>
      </c>
      <c r="AA23" s="9">
        <f>IF(M$227=0,0,M23/M$227)</f>
        <v/>
      </c>
      <c r="AB23" s="9">
        <f>AVERAGE(P23,Q23,S23)</f>
        <v/>
      </c>
    </row>
    <row r="24">
      <c r="A24" s="6">
        <f>'3_TF'!A24</f>
        <v/>
      </c>
      <c r="B24" s="9">
        <f>'3_TF'!B24*'4_IDF'!$E24</f>
        <v/>
      </c>
      <c r="C24" s="9">
        <f>'3_TF'!C24*'4_IDF'!$E24</f>
        <v/>
      </c>
      <c r="D24" s="9">
        <f>'3_TF'!D24*'4_IDF'!$E24</f>
        <v/>
      </c>
      <c r="E24" s="9">
        <f>'3_TF'!E24*'4_IDF'!$E24</f>
        <v/>
      </c>
      <c r="F24" s="9">
        <f>'3_TF'!F24*'4_IDF'!$E24</f>
        <v/>
      </c>
      <c r="G24" s="9">
        <f>'3_TF'!G24*'4_IDF'!$E24</f>
        <v/>
      </c>
      <c r="H24" s="9">
        <f>'3_TF'!H24*'4_IDF'!$E24</f>
        <v/>
      </c>
      <c r="I24" s="9">
        <f>'3_TF'!I24*'4_IDF'!$E24</f>
        <v/>
      </c>
      <c r="J24" s="9">
        <f>'3_TF'!J24*'4_IDF'!$E24</f>
        <v/>
      </c>
      <c r="K24" s="9">
        <f>'3_TF'!K24*'4_IDF'!$E24</f>
        <v/>
      </c>
      <c r="L24" s="9">
        <f>'3_TF'!L24*'4_IDF'!$E24</f>
        <v/>
      </c>
      <c r="M24" s="9">
        <f>'3_TF'!M24*'4_IDF'!$E24</f>
        <v/>
      </c>
      <c r="O24" s="6">
        <f>A24</f>
        <v/>
      </c>
      <c r="P24" s="9">
        <f>IF(B$227=0,0,B24/B$227)</f>
        <v/>
      </c>
      <c r="Q24" s="9">
        <f>IF(C$227=0,0,C24/C$227)</f>
        <v/>
      </c>
      <c r="R24" s="9">
        <f>IF(D$227=0,0,D24/D$227)</f>
        <v/>
      </c>
      <c r="S24" s="9">
        <f>IF(E$227=0,0,E24/E$227)</f>
        <v/>
      </c>
      <c r="T24" s="9">
        <f>IF(F$227=0,0,F24/F$227)</f>
        <v/>
      </c>
      <c r="U24" s="9">
        <f>IF(G$227=0,0,G24/G$227)</f>
        <v/>
      </c>
      <c r="V24" s="9">
        <f>IF(H$227=0,0,H24/H$227)</f>
        <v/>
      </c>
      <c r="W24" s="9">
        <f>IF(I$227=0,0,I24/I$227)</f>
        <v/>
      </c>
      <c r="X24" s="9">
        <f>IF(J$227=0,0,J24/J$227)</f>
        <v/>
      </c>
      <c r="Y24" s="9">
        <f>IF(K$227=0,0,K24/K$227)</f>
        <v/>
      </c>
      <c r="Z24" s="9">
        <f>IF(L$227=0,0,L24/L$227)</f>
        <v/>
      </c>
      <c r="AA24" s="9">
        <f>IF(M$227=0,0,M24/M$227)</f>
        <v/>
      </c>
      <c r="AB24" s="9">
        <f>AVERAGE(P24,Q24,S24)</f>
        <v/>
      </c>
    </row>
    <row r="25">
      <c r="A25" s="6">
        <f>'3_TF'!A25</f>
        <v/>
      </c>
      <c r="B25" s="9">
        <f>'3_TF'!B25*'4_IDF'!$E25</f>
        <v/>
      </c>
      <c r="C25" s="9">
        <f>'3_TF'!C25*'4_IDF'!$E25</f>
        <v/>
      </c>
      <c r="D25" s="9">
        <f>'3_TF'!D25*'4_IDF'!$E25</f>
        <v/>
      </c>
      <c r="E25" s="9">
        <f>'3_TF'!E25*'4_IDF'!$E25</f>
        <v/>
      </c>
      <c r="F25" s="9">
        <f>'3_TF'!F25*'4_IDF'!$E25</f>
        <v/>
      </c>
      <c r="G25" s="9">
        <f>'3_TF'!G25*'4_IDF'!$E25</f>
        <v/>
      </c>
      <c r="H25" s="9">
        <f>'3_TF'!H25*'4_IDF'!$E25</f>
        <v/>
      </c>
      <c r="I25" s="9">
        <f>'3_TF'!I25*'4_IDF'!$E25</f>
        <v/>
      </c>
      <c r="J25" s="9">
        <f>'3_TF'!J25*'4_IDF'!$E25</f>
        <v/>
      </c>
      <c r="K25" s="9">
        <f>'3_TF'!K25*'4_IDF'!$E25</f>
        <v/>
      </c>
      <c r="L25" s="9">
        <f>'3_TF'!L25*'4_IDF'!$E25</f>
        <v/>
      </c>
      <c r="M25" s="9">
        <f>'3_TF'!M25*'4_IDF'!$E25</f>
        <v/>
      </c>
      <c r="O25" s="6">
        <f>A25</f>
        <v/>
      </c>
      <c r="P25" s="9">
        <f>IF(B$227=0,0,B25/B$227)</f>
        <v/>
      </c>
      <c r="Q25" s="9">
        <f>IF(C$227=0,0,C25/C$227)</f>
        <v/>
      </c>
      <c r="R25" s="9">
        <f>IF(D$227=0,0,D25/D$227)</f>
        <v/>
      </c>
      <c r="S25" s="9">
        <f>IF(E$227=0,0,E25/E$227)</f>
        <v/>
      </c>
      <c r="T25" s="9">
        <f>IF(F$227=0,0,F25/F$227)</f>
        <v/>
      </c>
      <c r="U25" s="9">
        <f>IF(G$227=0,0,G25/G$227)</f>
        <v/>
      </c>
      <c r="V25" s="9">
        <f>IF(H$227=0,0,H25/H$227)</f>
        <v/>
      </c>
      <c r="W25" s="9">
        <f>IF(I$227=0,0,I25/I$227)</f>
        <v/>
      </c>
      <c r="X25" s="9">
        <f>IF(J$227=0,0,J25/J$227)</f>
        <v/>
      </c>
      <c r="Y25" s="9">
        <f>IF(K$227=0,0,K25/K$227)</f>
        <v/>
      </c>
      <c r="Z25" s="9">
        <f>IF(L$227=0,0,L25/L$227)</f>
        <v/>
      </c>
      <c r="AA25" s="9">
        <f>IF(M$227=0,0,M25/M$227)</f>
        <v/>
      </c>
      <c r="AB25" s="9">
        <f>AVERAGE(P25,Q25,S25)</f>
        <v/>
      </c>
    </row>
    <row r="26">
      <c r="A26" s="6">
        <f>'3_TF'!A26</f>
        <v/>
      </c>
      <c r="B26" s="9">
        <f>'3_TF'!B26*'4_IDF'!$E26</f>
        <v/>
      </c>
      <c r="C26" s="9">
        <f>'3_TF'!C26*'4_IDF'!$E26</f>
        <v/>
      </c>
      <c r="D26" s="9">
        <f>'3_TF'!D26*'4_IDF'!$E26</f>
        <v/>
      </c>
      <c r="E26" s="9">
        <f>'3_TF'!E26*'4_IDF'!$E26</f>
        <v/>
      </c>
      <c r="F26" s="9">
        <f>'3_TF'!F26*'4_IDF'!$E26</f>
        <v/>
      </c>
      <c r="G26" s="9">
        <f>'3_TF'!G26*'4_IDF'!$E26</f>
        <v/>
      </c>
      <c r="H26" s="9">
        <f>'3_TF'!H26*'4_IDF'!$E26</f>
        <v/>
      </c>
      <c r="I26" s="9">
        <f>'3_TF'!I26*'4_IDF'!$E26</f>
        <v/>
      </c>
      <c r="J26" s="9">
        <f>'3_TF'!J26*'4_IDF'!$E26</f>
        <v/>
      </c>
      <c r="K26" s="9">
        <f>'3_TF'!K26*'4_IDF'!$E26</f>
        <v/>
      </c>
      <c r="L26" s="9">
        <f>'3_TF'!L26*'4_IDF'!$E26</f>
        <v/>
      </c>
      <c r="M26" s="9">
        <f>'3_TF'!M26*'4_IDF'!$E26</f>
        <v/>
      </c>
      <c r="O26" s="6">
        <f>A26</f>
        <v/>
      </c>
      <c r="P26" s="9">
        <f>IF(B$227=0,0,B26/B$227)</f>
        <v/>
      </c>
      <c r="Q26" s="9">
        <f>IF(C$227=0,0,C26/C$227)</f>
        <v/>
      </c>
      <c r="R26" s="9">
        <f>IF(D$227=0,0,D26/D$227)</f>
        <v/>
      </c>
      <c r="S26" s="9">
        <f>IF(E$227=0,0,E26/E$227)</f>
        <v/>
      </c>
      <c r="T26" s="9">
        <f>IF(F$227=0,0,F26/F$227)</f>
        <v/>
      </c>
      <c r="U26" s="9">
        <f>IF(G$227=0,0,G26/G$227)</f>
        <v/>
      </c>
      <c r="V26" s="9">
        <f>IF(H$227=0,0,H26/H$227)</f>
        <v/>
      </c>
      <c r="W26" s="9">
        <f>IF(I$227=0,0,I26/I$227)</f>
        <v/>
      </c>
      <c r="X26" s="9">
        <f>IF(J$227=0,0,J26/J$227)</f>
        <v/>
      </c>
      <c r="Y26" s="9">
        <f>IF(K$227=0,0,K26/K$227)</f>
        <v/>
      </c>
      <c r="Z26" s="9">
        <f>IF(L$227=0,0,L26/L$227)</f>
        <v/>
      </c>
      <c r="AA26" s="9">
        <f>IF(M$227=0,0,M26/M$227)</f>
        <v/>
      </c>
      <c r="AB26" s="9">
        <f>AVERAGE(P26,Q26,S26)</f>
        <v/>
      </c>
    </row>
    <row r="27">
      <c r="A27" s="6">
        <f>'3_TF'!A27</f>
        <v/>
      </c>
      <c r="B27" s="9">
        <f>'3_TF'!B27*'4_IDF'!$E27</f>
        <v/>
      </c>
      <c r="C27" s="9">
        <f>'3_TF'!C27*'4_IDF'!$E27</f>
        <v/>
      </c>
      <c r="D27" s="9">
        <f>'3_TF'!D27*'4_IDF'!$E27</f>
        <v/>
      </c>
      <c r="E27" s="9">
        <f>'3_TF'!E27*'4_IDF'!$E27</f>
        <v/>
      </c>
      <c r="F27" s="9">
        <f>'3_TF'!F27*'4_IDF'!$E27</f>
        <v/>
      </c>
      <c r="G27" s="9">
        <f>'3_TF'!G27*'4_IDF'!$E27</f>
        <v/>
      </c>
      <c r="H27" s="9">
        <f>'3_TF'!H27*'4_IDF'!$E27</f>
        <v/>
      </c>
      <c r="I27" s="9">
        <f>'3_TF'!I27*'4_IDF'!$E27</f>
        <v/>
      </c>
      <c r="J27" s="9">
        <f>'3_TF'!J27*'4_IDF'!$E27</f>
        <v/>
      </c>
      <c r="K27" s="9">
        <f>'3_TF'!K27*'4_IDF'!$E27</f>
        <v/>
      </c>
      <c r="L27" s="9">
        <f>'3_TF'!L27*'4_IDF'!$E27</f>
        <v/>
      </c>
      <c r="M27" s="9">
        <f>'3_TF'!M27*'4_IDF'!$E27</f>
        <v/>
      </c>
      <c r="O27" s="6">
        <f>A27</f>
        <v/>
      </c>
      <c r="P27" s="9">
        <f>IF(B$227=0,0,B27/B$227)</f>
        <v/>
      </c>
      <c r="Q27" s="9">
        <f>IF(C$227=0,0,C27/C$227)</f>
        <v/>
      </c>
      <c r="R27" s="9">
        <f>IF(D$227=0,0,D27/D$227)</f>
        <v/>
      </c>
      <c r="S27" s="9">
        <f>IF(E$227=0,0,E27/E$227)</f>
        <v/>
      </c>
      <c r="T27" s="9">
        <f>IF(F$227=0,0,F27/F$227)</f>
        <v/>
      </c>
      <c r="U27" s="9">
        <f>IF(G$227=0,0,G27/G$227)</f>
        <v/>
      </c>
      <c r="V27" s="9">
        <f>IF(H$227=0,0,H27/H$227)</f>
        <v/>
      </c>
      <c r="W27" s="9">
        <f>IF(I$227=0,0,I27/I$227)</f>
        <v/>
      </c>
      <c r="X27" s="9">
        <f>IF(J$227=0,0,J27/J$227)</f>
        <v/>
      </c>
      <c r="Y27" s="9">
        <f>IF(K$227=0,0,K27/K$227)</f>
        <v/>
      </c>
      <c r="Z27" s="9">
        <f>IF(L$227=0,0,L27/L$227)</f>
        <v/>
      </c>
      <c r="AA27" s="9">
        <f>IF(M$227=0,0,M27/M$227)</f>
        <v/>
      </c>
      <c r="AB27" s="9">
        <f>AVERAGE(P27,Q27,S27)</f>
        <v/>
      </c>
    </row>
    <row r="28">
      <c r="A28" s="6">
        <f>'3_TF'!A28</f>
        <v/>
      </c>
      <c r="B28" s="9">
        <f>'3_TF'!B28*'4_IDF'!$E28</f>
        <v/>
      </c>
      <c r="C28" s="9">
        <f>'3_TF'!C28*'4_IDF'!$E28</f>
        <v/>
      </c>
      <c r="D28" s="9">
        <f>'3_TF'!D28*'4_IDF'!$E28</f>
        <v/>
      </c>
      <c r="E28" s="9">
        <f>'3_TF'!E28*'4_IDF'!$E28</f>
        <v/>
      </c>
      <c r="F28" s="9">
        <f>'3_TF'!F28*'4_IDF'!$E28</f>
        <v/>
      </c>
      <c r="G28" s="9">
        <f>'3_TF'!G28*'4_IDF'!$E28</f>
        <v/>
      </c>
      <c r="H28" s="9">
        <f>'3_TF'!H28*'4_IDF'!$E28</f>
        <v/>
      </c>
      <c r="I28" s="9">
        <f>'3_TF'!I28*'4_IDF'!$E28</f>
        <v/>
      </c>
      <c r="J28" s="9">
        <f>'3_TF'!J28*'4_IDF'!$E28</f>
        <v/>
      </c>
      <c r="K28" s="9">
        <f>'3_TF'!K28*'4_IDF'!$E28</f>
        <v/>
      </c>
      <c r="L28" s="9">
        <f>'3_TF'!L28*'4_IDF'!$E28</f>
        <v/>
      </c>
      <c r="M28" s="9">
        <f>'3_TF'!M28*'4_IDF'!$E28</f>
        <v/>
      </c>
      <c r="O28" s="6">
        <f>A28</f>
        <v/>
      </c>
      <c r="P28" s="9">
        <f>IF(B$227=0,0,B28/B$227)</f>
        <v/>
      </c>
      <c r="Q28" s="9">
        <f>IF(C$227=0,0,C28/C$227)</f>
        <v/>
      </c>
      <c r="R28" s="9">
        <f>IF(D$227=0,0,D28/D$227)</f>
        <v/>
      </c>
      <c r="S28" s="9">
        <f>IF(E$227=0,0,E28/E$227)</f>
        <v/>
      </c>
      <c r="T28" s="9">
        <f>IF(F$227=0,0,F28/F$227)</f>
        <v/>
      </c>
      <c r="U28" s="9">
        <f>IF(G$227=0,0,G28/G$227)</f>
        <v/>
      </c>
      <c r="V28" s="9">
        <f>IF(H$227=0,0,H28/H$227)</f>
        <v/>
      </c>
      <c r="W28" s="9">
        <f>IF(I$227=0,0,I28/I$227)</f>
        <v/>
      </c>
      <c r="X28" s="9">
        <f>IF(J$227=0,0,J28/J$227)</f>
        <v/>
      </c>
      <c r="Y28" s="9">
        <f>IF(K$227=0,0,K28/K$227)</f>
        <v/>
      </c>
      <c r="Z28" s="9">
        <f>IF(L$227=0,0,L28/L$227)</f>
        <v/>
      </c>
      <c r="AA28" s="9">
        <f>IF(M$227=0,0,M28/M$227)</f>
        <v/>
      </c>
      <c r="AB28" s="9">
        <f>AVERAGE(P28,Q28,S28)</f>
        <v/>
      </c>
    </row>
    <row r="29">
      <c r="A29" s="6">
        <f>'3_TF'!A29</f>
        <v/>
      </c>
      <c r="B29" s="9">
        <f>'3_TF'!B29*'4_IDF'!$E29</f>
        <v/>
      </c>
      <c r="C29" s="9">
        <f>'3_TF'!C29*'4_IDF'!$E29</f>
        <v/>
      </c>
      <c r="D29" s="9">
        <f>'3_TF'!D29*'4_IDF'!$E29</f>
        <v/>
      </c>
      <c r="E29" s="9">
        <f>'3_TF'!E29*'4_IDF'!$E29</f>
        <v/>
      </c>
      <c r="F29" s="9">
        <f>'3_TF'!F29*'4_IDF'!$E29</f>
        <v/>
      </c>
      <c r="G29" s="9">
        <f>'3_TF'!G29*'4_IDF'!$E29</f>
        <v/>
      </c>
      <c r="H29" s="9">
        <f>'3_TF'!H29*'4_IDF'!$E29</f>
        <v/>
      </c>
      <c r="I29" s="9">
        <f>'3_TF'!I29*'4_IDF'!$E29</f>
        <v/>
      </c>
      <c r="J29" s="9">
        <f>'3_TF'!J29*'4_IDF'!$E29</f>
        <v/>
      </c>
      <c r="K29" s="9">
        <f>'3_TF'!K29*'4_IDF'!$E29</f>
        <v/>
      </c>
      <c r="L29" s="9">
        <f>'3_TF'!L29*'4_IDF'!$E29</f>
        <v/>
      </c>
      <c r="M29" s="9">
        <f>'3_TF'!M29*'4_IDF'!$E29</f>
        <v/>
      </c>
      <c r="O29" s="6">
        <f>A29</f>
        <v/>
      </c>
      <c r="P29" s="9">
        <f>IF(B$227=0,0,B29/B$227)</f>
        <v/>
      </c>
      <c r="Q29" s="9">
        <f>IF(C$227=0,0,C29/C$227)</f>
        <v/>
      </c>
      <c r="R29" s="9">
        <f>IF(D$227=0,0,D29/D$227)</f>
        <v/>
      </c>
      <c r="S29" s="9">
        <f>IF(E$227=0,0,E29/E$227)</f>
        <v/>
      </c>
      <c r="T29" s="9">
        <f>IF(F$227=0,0,F29/F$227)</f>
        <v/>
      </c>
      <c r="U29" s="9">
        <f>IF(G$227=0,0,G29/G$227)</f>
        <v/>
      </c>
      <c r="V29" s="9">
        <f>IF(H$227=0,0,H29/H$227)</f>
        <v/>
      </c>
      <c r="W29" s="9">
        <f>IF(I$227=0,0,I29/I$227)</f>
        <v/>
      </c>
      <c r="X29" s="9">
        <f>IF(J$227=0,0,J29/J$227)</f>
        <v/>
      </c>
      <c r="Y29" s="9">
        <f>IF(K$227=0,0,K29/K$227)</f>
        <v/>
      </c>
      <c r="Z29" s="9">
        <f>IF(L$227=0,0,L29/L$227)</f>
        <v/>
      </c>
      <c r="AA29" s="9">
        <f>IF(M$227=0,0,M29/M$227)</f>
        <v/>
      </c>
      <c r="AB29" s="9">
        <f>AVERAGE(P29,Q29,S29)</f>
        <v/>
      </c>
    </row>
    <row r="30">
      <c r="A30" s="6">
        <f>'3_TF'!A30</f>
        <v/>
      </c>
      <c r="B30" s="9">
        <f>'3_TF'!B30*'4_IDF'!$E30</f>
        <v/>
      </c>
      <c r="C30" s="9">
        <f>'3_TF'!C30*'4_IDF'!$E30</f>
        <v/>
      </c>
      <c r="D30" s="9">
        <f>'3_TF'!D30*'4_IDF'!$E30</f>
        <v/>
      </c>
      <c r="E30" s="9">
        <f>'3_TF'!E30*'4_IDF'!$E30</f>
        <v/>
      </c>
      <c r="F30" s="9">
        <f>'3_TF'!F30*'4_IDF'!$E30</f>
        <v/>
      </c>
      <c r="G30" s="9">
        <f>'3_TF'!G30*'4_IDF'!$E30</f>
        <v/>
      </c>
      <c r="H30" s="9">
        <f>'3_TF'!H30*'4_IDF'!$E30</f>
        <v/>
      </c>
      <c r="I30" s="9">
        <f>'3_TF'!I30*'4_IDF'!$E30</f>
        <v/>
      </c>
      <c r="J30" s="9">
        <f>'3_TF'!J30*'4_IDF'!$E30</f>
        <v/>
      </c>
      <c r="K30" s="9">
        <f>'3_TF'!K30*'4_IDF'!$E30</f>
        <v/>
      </c>
      <c r="L30" s="9">
        <f>'3_TF'!L30*'4_IDF'!$E30</f>
        <v/>
      </c>
      <c r="M30" s="9">
        <f>'3_TF'!M30*'4_IDF'!$E30</f>
        <v/>
      </c>
      <c r="O30" s="6">
        <f>A30</f>
        <v/>
      </c>
      <c r="P30" s="9">
        <f>IF(B$227=0,0,B30/B$227)</f>
        <v/>
      </c>
      <c r="Q30" s="9">
        <f>IF(C$227=0,0,C30/C$227)</f>
        <v/>
      </c>
      <c r="R30" s="9">
        <f>IF(D$227=0,0,D30/D$227)</f>
        <v/>
      </c>
      <c r="S30" s="9">
        <f>IF(E$227=0,0,E30/E$227)</f>
        <v/>
      </c>
      <c r="T30" s="9">
        <f>IF(F$227=0,0,F30/F$227)</f>
        <v/>
      </c>
      <c r="U30" s="9">
        <f>IF(G$227=0,0,G30/G$227)</f>
        <v/>
      </c>
      <c r="V30" s="9">
        <f>IF(H$227=0,0,H30/H$227)</f>
        <v/>
      </c>
      <c r="W30" s="9">
        <f>IF(I$227=0,0,I30/I$227)</f>
        <v/>
      </c>
      <c r="X30" s="9">
        <f>IF(J$227=0,0,J30/J$227)</f>
        <v/>
      </c>
      <c r="Y30" s="9">
        <f>IF(K$227=0,0,K30/K$227)</f>
        <v/>
      </c>
      <c r="Z30" s="9">
        <f>IF(L$227=0,0,L30/L$227)</f>
        <v/>
      </c>
      <c r="AA30" s="9">
        <f>IF(M$227=0,0,M30/M$227)</f>
        <v/>
      </c>
      <c r="AB30" s="9">
        <f>AVERAGE(P30,Q30,S30)</f>
        <v/>
      </c>
    </row>
    <row r="31">
      <c r="A31" s="6">
        <f>'3_TF'!A31</f>
        <v/>
      </c>
      <c r="B31" s="9">
        <f>'3_TF'!B31*'4_IDF'!$E31</f>
        <v/>
      </c>
      <c r="C31" s="9">
        <f>'3_TF'!C31*'4_IDF'!$E31</f>
        <v/>
      </c>
      <c r="D31" s="9">
        <f>'3_TF'!D31*'4_IDF'!$E31</f>
        <v/>
      </c>
      <c r="E31" s="9">
        <f>'3_TF'!E31*'4_IDF'!$E31</f>
        <v/>
      </c>
      <c r="F31" s="9">
        <f>'3_TF'!F31*'4_IDF'!$E31</f>
        <v/>
      </c>
      <c r="G31" s="9">
        <f>'3_TF'!G31*'4_IDF'!$E31</f>
        <v/>
      </c>
      <c r="H31" s="9">
        <f>'3_TF'!H31*'4_IDF'!$E31</f>
        <v/>
      </c>
      <c r="I31" s="9">
        <f>'3_TF'!I31*'4_IDF'!$E31</f>
        <v/>
      </c>
      <c r="J31" s="9">
        <f>'3_TF'!J31*'4_IDF'!$E31</f>
        <v/>
      </c>
      <c r="K31" s="9">
        <f>'3_TF'!K31*'4_IDF'!$E31</f>
        <v/>
      </c>
      <c r="L31" s="9">
        <f>'3_TF'!L31*'4_IDF'!$E31</f>
        <v/>
      </c>
      <c r="M31" s="9">
        <f>'3_TF'!M31*'4_IDF'!$E31</f>
        <v/>
      </c>
      <c r="O31" s="6">
        <f>A31</f>
        <v/>
      </c>
      <c r="P31" s="9">
        <f>IF(B$227=0,0,B31/B$227)</f>
        <v/>
      </c>
      <c r="Q31" s="9">
        <f>IF(C$227=0,0,C31/C$227)</f>
        <v/>
      </c>
      <c r="R31" s="9">
        <f>IF(D$227=0,0,D31/D$227)</f>
        <v/>
      </c>
      <c r="S31" s="9">
        <f>IF(E$227=0,0,E31/E$227)</f>
        <v/>
      </c>
      <c r="T31" s="9">
        <f>IF(F$227=0,0,F31/F$227)</f>
        <v/>
      </c>
      <c r="U31" s="9">
        <f>IF(G$227=0,0,G31/G$227)</f>
        <v/>
      </c>
      <c r="V31" s="9">
        <f>IF(H$227=0,0,H31/H$227)</f>
        <v/>
      </c>
      <c r="W31" s="9">
        <f>IF(I$227=0,0,I31/I$227)</f>
        <v/>
      </c>
      <c r="X31" s="9">
        <f>IF(J$227=0,0,J31/J$227)</f>
        <v/>
      </c>
      <c r="Y31" s="9">
        <f>IF(K$227=0,0,K31/K$227)</f>
        <v/>
      </c>
      <c r="Z31" s="9">
        <f>IF(L$227=0,0,L31/L$227)</f>
        <v/>
      </c>
      <c r="AA31" s="9">
        <f>IF(M$227=0,0,M31/M$227)</f>
        <v/>
      </c>
      <c r="AB31" s="9">
        <f>AVERAGE(P31,Q31,S31)</f>
        <v/>
      </c>
    </row>
    <row r="32">
      <c r="A32" s="6">
        <f>'3_TF'!A32</f>
        <v/>
      </c>
      <c r="B32" s="9">
        <f>'3_TF'!B32*'4_IDF'!$E32</f>
        <v/>
      </c>
      <c r="C32" s="9">
        <f>'3_TF'!C32*'4_IDF'!$E32</f>
        <v/>
      </c>
      <c r="D32" s="9">
        <f>'3_TF'!D32*'4_IDF'!$E32</f>
        <v/>
      </c>
      <c r="E32" s="9">
        <f>'3_TF'!E32*'4_IDF'!$E32</f>
        <v/>
      </c>
      <c r="F32" s="9">
        <f>'3_TF'!F32*'4_IDF'!$E32</f>
        <v/>
      </c>
      <c r="G32" s="9">
        <f>'3_TF'!G32*'4_IDF'!$E32</f>
        <v/>
      </c>
      <c r="H32" s="9">
        <f>'3_TF'!H32*'4_IDF'!$E32</f>
        <v/>
      </c>
      <c r="I32" s="9">
        <f>'3_TF'!I32*'4_IDF'!$E32</f>
        <v/>
      </c>
      <c r="J32" s="9">
        <f>'3_TF'!J32*'4_IDF'!$E32</f>
        <v/>
      </c>
      <c r="K32" s="9">
        <f>'3_TF'!K32*'4_IDF'!$E32</f>
        <v/>
      </c>
      <c r="L32" s="9">
        <f>'3_TF'!L32*'4_IDF'!$E32</f>
        <v/>
      </c>
      <c r="M32" s="9">
        <f>'3_TF'!M32*'4_IDF'!$E32</f>
        <v/>
      </c>
      <c r="O32" s="6">
        <f>A32</f>
        <v/>
      </c>
      <c r="P32" s="9">
        <f>IF(B$227=0,0,B32/B$227)</f>
        <v/>
      </c>
      <c r="Q32" s="9">
        <f>IF(C$227=0,0,C32/C$227)</f>
        <v/>
      </c>
      <c r="R32" s="9">
        <f>IF(D$227=0,0,D32/D$227)</f>
        <v/>
      </c>
      <c r="S32" s="9">
        <f>IF(E$227=0,0,E32/E$227)</f>
        <v/>
      </c>
      <c r="T32" s="9">
        <f>IF(F$227=0,0,F32/F$227)</f>
        <v/>
      </c>
      <c r="U32" s="9">
        <f>IF(G$227=0,0,G32/G$227)</f>
        <v/>
      </c>
      <c r="V32" s="9">
        <f>IF(H$227=0,0,H32/H$227)</f>
        <v/>
      </c>
      <c r="W32" s="9">
        <f>IF(I$227=0,0,I32/I$227)</f>
        <v/>
      </c>
      <c r="X32" s="9">
        <f>IF(J$227=0,0,J32/J$227)</f>
        <v/>
      </c>
      <c r="Y32" s="9">
        <f>IF(K$227=0,0,K32/K$227)</f>
        <v/>
      </c>
      <c r="Z32" s="9">
        <f>IF(L$227=0,0,L32/L$227)</f>
        <v/>
      </c>
      <c r="AA32" s="9">
        <f>IF(M$227=0,0,M32/M$227)</f>
        <v/>
      </c>
      <c r="AB32" s="9">
        <f>AVERAGE(P32,Q32,S32)</f>
        <v/>
      </c>
    </row>
    <row r="33">
      <c r="A33" s="6">
        <f>'3_TF'!A33</f>
        <v/>
      </c>
      <c r="B33" s="9">
        <f>'3_TF'!B33*'4_IDF'!$E33</f>
        <v/>
      </c>
      <c r="C33" s="9">
        <f>'3_TF'!C33*'4_IDF'!$E33</f>
        <v/>
      </c>
      <c r="D33" s="9">
        <f>'3_TF'!D33*'4_IDF'!$E33</f>
        <v/>
      </c>
      <c r="E33" s="9">
        <f>'3_TF'!E33*'4_IDF'!$E33</f>
        <v/>
      </c>
      <c r="F33" s="9">
        <f>'3_TF'!F33*'4_IDF'!$E33</f>
        <v/>
      </c>
      <c r="G33" s="9">
        <f>'3_TF'!G33*'4_IDF'!$E33</f>
        <v/>
      </c>
      <c r="H33" s="9">
        <f>'3_TF'!H33*'4_IDF'!$E33</f>
        <v/>
      </c>
      <c r="I33" s="9">
        <f>'3_TF'!I33*'4_IDF'!$E33</f>
        <v/>
      </c>
      <c r="J33" s="9">
        <f>'3_TF'!J33*'4_IDF'!$E33</f>
        <v/>
      </c>
      <c r="K33" s="9">
        <f>'3_TF'!K33*'4_IDF'!$E33</f>
        <v/>
      </c>
      <c r="L33" s="9">
        <f>'3_TF'!L33*'4_IDF'!$E33</f>
        <v/>
      </c>
      <c r="M33" s="9">
        <f>'3_TF'!M33*'4_IDF'!$E33</f>
        <v/>
      </c>
      <c r="O33" s="6">
        <f>A33</f>
        <v/>
      </c>
      <c r="P33" s="9">
        <f>IF(B$227=0,0,B33/B$227)</f>
        <v/>
      </c>
      <c r="Q33" s="9">
        <f>IF(C$227=0,0,C33/C$227)</f>
        <v/>
      </c>
      <c r="R33" s="9">
        <f>IF(D$227=0,0,D33/D$227)</f>
        <v/>
      </c>
      <c r="S33" s="9">
        <f>IF(E$227=0,0,E33/E$227)</f>
        <v/>
      </c>
      <c r="T33" s="9">
        <f>IF(F$227=0,0,F33/F$227)</f>
        <v/>
      </c>
      <c r="U33" s="9">
        <f>IF(G$227=0,0,G33/G$227)</f>
        <v/>
      </c>
      <c r="V33" s="9">
        <f>IF(H$227=0,0,H33/H$227)</f>
        <v/>
      </c>
      <c r="W33" s="9">
        <f>IF(I$227=0,0,I33/I$227)</f>
        <v/>
      </c>
      <c r="X33" s="9">
        <f>IF(J$227=0,0,J33/J$227)</f>
        <v/>
      </c>
      <c r="Y33" s="9">
        <f>IF(K$227=0,0,K33/K$227)</f>
        <v/>
      </c>
      <c r="Z33" s="9">
        <f>IF(L$227=0,0,L33/L$227)</f>
        <v/>
      </c>
      <c r="AA33" s="9">
        <f>IF(M$227=0,0,M33/M$227)</f>
        <v/>
      </c>
      <c r="AB33" s="9">
        <f>AVERAGE(P33,Q33,S33)</f>
        <v/>
      </c>
    </row>
    <row r="34">
      <c r="A34" s="6">
        <f>'3_TF'!A34</f>
        <v/>
      </c>
      <c r="B34" s="9">
        <f>'3_TF'!B34*'4_IDF'!$E34</f>
        <v/>
      </c>
      <c r="C34" s="9">
        <f>'3_TF'!C34*'4_IDF'!$E34</f>
        <v/>
      </c>
      <c r="D34" s="9">
        <f>'3_TF'!D34*'4_IDF'!$E34</f>
        <v/>
      </c>
      <c r="E34" s="9">
        <f>'3_TF'!E34*'4_IDF'!$E34</f>
        <v/>
      </c>
      <c r="F34" s="9">
        <f>'3_TF'!F34*'4_IDF'!$E34</f>
        <v/>
      </c>
      <c r="G34" s="9">
        <f>'3_TF'!G34*'4_IDF'!$E34</f>
        <v/>
      </c>
      <c r="H34" s="9">
        <f>'3_TF'!H34*'4_IDF'!$E34</f>
        <v/>
      </c>
      <c r="I34" s="9">
        <f>'3_TF'!I34*'4_IDF'!$E34</f>
        <v/>
      </c>
      <c r="J34" s="9">
        <f>'3_TF'!J34*'4_IDF'!$E34</f>
        <v/>
      </c>
      <c r="K34" s="9">
        <f>'3_TF'!K34*'4_IDF'!$E34</f>
        <v/>
      </c>
      <c r="L34" s="9">
        <f>'3_TF'!L34*'4_IDF'!$E34</f>
        <v/>
      </c>
      <c r="M34" s="9">
        <f>'3_TF'!M34*'4_IDF'!$E34</f>
        <v/>
      </c>
      <c r="O34" s="6">
        <f>A34</f>
        <v/>
      </c>
      <c r="P34" s="9">
        <f>IF(B$227=0,0,B34/B$227)</f>
        <v/>
      </c>
      <c r="Q34" s="9">
        <f>IF(C$227=0,0,C34/C$227)</f>
        <v/>
      </c>
      <c r="R34" s="9">
        <f>IF(D$227=0,0,D34/D$227)</f>
        <v/>
      </c>
      <c r="S34" s="9">
        <f>IF(E$227=0,0,E34/E$227)</f>
        <v/>
      </c>
      <c r="T34" s="9">
        <f>IF(F$227=0,0,F34/F$227)</f>
        <v/>
      </c>
      <c r="U34" s="9">
        <f>IF(G$227=0,0,G34/G$227)</f>
        <v/>
      </c>
      <c r="V34" s="9">
        <f>IF(H$227=0,0,H34/H$227)</f>
        <v/>
      </c>
      <c r="W34" s="9">
        <f>IF(I$227=0,0,I34/I$227)</f>
        <v/>
      </c>
      <c r="X34" s="9">
        <f>IF(J$227=0,0,J34/J$227)</f>
        <v/>
      </c>
      <c r="Y34" s="9">
        <f>IF(K$227=0,0,K34/K$227)</f>
        <v/>
      </c>
      <c r="Z34" s="9">
        <f>IF(L$227=0,0,L34/L$227)</f>
        <v/>
      </c>
      <c r="AA34" s="9">
        <f>IF(M$227=0,0,M34/M$227)</f>
        <v/>
      </c>
      <c r="AB34" s="9">
        <f>AVERAGE(P34,Q34,S34)</f>
        <v/>
      </c>
    </row>
    <row r="35">
      <c r="A35" s="6">
        <f>'3_TF'!A35</f>
        <v/>
      </c>
      <c r="B35" s="9">
        <f>'3_TF'!B35*'4_IDF'!$E35</f>
        <v/>
      </c>
      <c r="C35" s="9">
        <f>'3_TF'!C35*'4_IDF'!$E35</f>
        <v/>
      </c>
      <c r="D35" s="9">
        <f>'3_TF'!D35*'4_IDF'!$E35</f>
        <v/>
      </c>
      <c r="E35" s="9">
        <f>'3_TF'!E35*'4_IDF'!$E35</f>
        <v/>
      </c>
      <c r="F35" s="9">
        <f>'3_TF'!F35*'4_IDF'!$E35</f>
        <v/>
      </c>
      <c r="G35" s="9">
        <f>'3_TF'!G35*'4_IDF'!$E35</f>
        <v/>
      </c>
      <c r="H35" s="9">
        <f>'3_TF'!H35*'4_IDF'!$E35</f>
        <v/>
      </c>
      <c r="I35" s="9">
        <f>'3_TF'!I35*'4_IDF'!$E35</f>
        <v/>
      </c>
      <c r="J35" s="9">
        <f>'3_TF'!J35*'4_IDF'!$E35</f>
        <v/>
      </c>
      <c r="K35" s="9">
        <f>'3_TF'!K35*'4_IDF'!$E35</f>
        <v/>
      </c>
      <c r="L35" s="9">
        <f>'3_TF'!L35*'4_IDF'!$E35</f>
        <v/>
      </c>
      <c r="M35" s="9">
        <f>'3_TF'!M35*'4_IDF'!$E35</f>
        <v/>
      </c>
      <c r="O35" s="6">
        <f>A35</f>
        <v/>
      </c>
      <c r="P35" s="9">
        <f>IF(B$227=0,0,B35/B$227)</f>
        <v/>
      </c>
      <c r="Q35" s="9">
        <f>IF(C$227=0,0,C35/C$227)</f>
        <v/>
      </c>
      <c r="R35" s="9">
        <f>IF(D$227=0,0,D35/D$227)</f>
        <v/>
      </c>
      <c r="S35" s="9">
        <f>IF(E$227=0,0,E35/E$227)</f>
        <v/>
      </c>
      <c r="T35" s="9">
        <f>IF(F$227=0,0,F35/F$227)</f>
        <v/>
      </c>
      <c r="U35" s="9">
        <f>IF(G$227=0,0,G35/G$227)</f>
        <v/>
      </c>
      <c r="V35" s="9">
        <f>IF(H$227=0,0,H35/H$227)</f>
        <v/>
      </c>
      <c r="W35" s="9">
        <f>IF(I$227=0,0,I35/I$227)</f>
        <v/>
      </c>
      <c r="X35" s="9">
        <f>IF(J$227=0,0,J35/J$227)</f>
        <v/>
      </c>
      <c r="Y35" s="9">
        <f>IF(K$227=0,0,K35/K$227)</f>
        <v/>
      </c>
      <c r="Z35" s="9">
        <f>IF(L$227=0,0,L35/L$227)</f>
        <v/>
      </c>
      <c r="AA35" s="9">
        <f>IF(M$227=0,0,M35/M$227)</f>
        <v/>
      </c>
      <c r="AB35" s="9">
        <f>AVERAGE(P35,Q35,S35)</f>
        <v/>
      </c>
    </row>
    <row r="36">
      <c r="A36" s="6">
        <f>'3_TF'!A36</f>
        <v/>
      </c>
      <c r="B36" s="9">
        <f>'3_TF'!B36*'4_IDF'!$E36</f>
        <v/>
      </c>
      <c r="C36" s="9">
        <f>'3_TF'!C36*'4_IDF'!$E36</f>
        <v/>
      </c>
      <c r="D36" s="9">
        <f>'3_TF'!D36*'4_IDF'!$E36</f>
        <v/>
      </c>
      <c r="E36" s="9">
        <f>'3_TF'!E36*'4_IDF'!$E36</f>
        <v/>
      </c>
      <c r="F36" s="9">
        <f>'3_TF'!F36*'4_IDF'!$E36</f>
        <v/>
      </c>
      <c r="G36" s="9">
        <f>'3_TF'!G36*'4_IDF'!$E36</f>
        <v/>
      </c>
      <c r="H36" s="9">
        <f>'3_TF'!H36*'4_IDF'!$E36</f>
        <v/>
      </c>
      <c r="I36" s="9">
        <f>'3_TF'!I36*'4_IDF'!$E36</f>
        <v/>
      </c>
      <c r="J36" s="9">
        <f>'3_TF'!J36*'4_IDF'!$E36</f>
        <v/>
      </c>
      <c r="K36" s="9">
        <f>'3_TF'!K36*'4_IDF'!$E36</f>
        <v/>
      </c>
      <c r="L36" s="9">
        <f>'3_TF'!L36*'4_IDF'!$E36</f>
        <v/>
      </c>
      <c r="M36" s="9">
        <f>'3_TF'!M36*'4_IDF'!$E36</f>
        <v/>
      </c>
      <c r="O36" s="6">
        <f>A36</f>
        <v/>
      </c>
      <c r="P36" s="9">
        <f>IF(B$227=0,0,B36/B$227)</f>
        <v/>
      </c>
      <c r="Q36" s="9">
        <f>IF(C$227=0,0,C36/C$227)</f>
        <v/>
      </c>
      <c r="R36" s="9">
        <f>IF(D$227=0,0,D36/D$227)</f>
        <v/>
      </c>
      <c r="S36" s="9">
        <f>IF(E$227=0,0,E36/E$227)</f>
        <v/>
      </c>
      <c r="T36" s="9">
        <f>IF(F$227=0,0,F36/F$227)</f>
        <v/>
      </c>
      <c r="U36" s="9">
        <f>IF(G$227=0,0,G36/G$227)</f>
        <v/>
      </c>
      <c r="V36" s="9">
        <f>IF(H$227=0,0,H36/H$227)</f>
        <v/>
      </c>
      <c r="W36" s="9">
        <f>IF(I$227=0,0,I36/I$227)</f>
        <v/>
      </c>
      <c r="X36" s="9">
        <f>IF(J$227=0,0,J36/J$227)</f>
        <v/>
      </c>
      <c r="Y36" s="9">
        <f>IF(K$227=0,0,K36/K$227)</f>
        <v/>
      </c>
      <c r="Z36" s="9">
        <f>IF(L$227=0,0,L36/L$227)</f>
        <v/>
      </c>
      <c r="AA36" s="9">
        <f>IF(M$227=0,0,M36/M$227)</f>
        <v/>
      </c>
      <c r="AB36" s="9">
        <f>AVERAGE(P36,Q36,S36)</f>
        <v/>
      </c>
    </row>
    <row r="37">
      <c r="A37" s="6">
        <f>'3_TF'!A37</f>
        <v/>
      </c>
      <c r="B37" s="9">
        <f>'3_TF'!B37*'4_IDF'!$E37</f>
        <v/>
      </c>
      <c r="C37" s="9">
        <f>'3_TF'!C37*'4_IDF'!$E37</f>
        <v/>
      </c>
      <c r="D37" s="9">
        <f>'3_TF'!D37*'4_IDF'!$E37</f>
        <v/>
      </c>
      <c r="E37" s="9">
        <f>'3_TF'!E37*'4_IDF'!$E37</f>
        <v/>
      </c>
      <c r="F37" s="9">
        <f>'3_TF'!F37*'4_IDF'!$E37</f>
        <v/>
      </c>
      <c r="G37" s="9">
        <f>'3_TF'!G37*'4_IDF'!$E37</f>
        <v/>
      </c>
      <c r="H37" s="9">
        <f>'3_TF'!H37*'4_IDF'!$E37</f>
        <v/>
      </c>
      <c r="I37" s="9">
        <f>'3_TF'!I37*'4_IDF'!$E37</f>
        <v/>
      </c>
      <c r="J37" s="9">
        <f>'3_TF'!J37*'4_IDF'!$E37</f>
        <v/>
      </c>
      <c r="K37" s="9">
        <f>'3_TF'!K37*'4_IDF'!$E37</f>
        <v/>
      </c>
      <c r="L37" s="9">
        <f>'3_TF'!L37*'4_IDF'!$E37</f>
        <v/>
      </c>
      <c r="M37" s="9">
        <f>'3_TF'!M37*'4_IDF'!$E37</f>
        <v/>
      </c>
      <c r="O37" s="6">
        <f>A37</f>
        <v/>
      </c>
      <c r="P37" s="9">
        <f>IF(B$227=0,0,B37/B$227)</f>
        <v/>
      </c>
      <c r="Q37" s="9">
        <f>IF(C$227=0,0,C37/C$227)</f>
        <v/>
      </c>
      <c r="R37" s="9">
        <f>IF(D$227=0,0,D37/D$227)</f>
        <v/>
      </c>
      <c r="S37" s="9">
        <f>IF(E$227=0,0,E37/E$227)</f>
        <v/>
      </c>
      <c r="T37" s="9">
        <f>IF(F$227=0,0,F37/F$227)</f>
        <v/>
      </c>
      <c r="U37" s="9">
        <f>IF(G$227=0,0,G37/G$227)</f>
        <v/>
      </c>
      <c r="V37" s="9">
        <f>IF(H$227=0,0,H37/H$227)</f>
        <v/>
      </c>
      <c r="W37" s="9">
        <f>IF(I$227=0,0,I37/I$227)</f>
        <v/>
      </c>
      <c r="X37" s="9">
        <f>IF(J$227=0,0,J37/J$227)</f>
        <v/>
      </c>
      <c r="Y37" s="9">
        <f>IF(K$227=0,0,K37/K$227)</f>
        <v/>
      </c>
      <c r="Z37" s="9">
        <f>IF(L$227=0,0,L37/L$227)</f>
        <v/>
      </c>
      <c r="AA37" s="9">
        <f>IF(M$227=0,0,M37/M$227)</f>
        <v/>
      </c>
      <c r="AB37" s="9">
        <f>AVERAGE(P37,Q37,S37)</f>
        <v/>
      </c>
    </row>
    <row r="38">
      <c r="A38" s="6">
        <f>'3_TF'!A38</f>
        <v/>
      </c>
      <c r="B38" s="9">
        <f>'3_TF'!B38*'4_IDF'!$E38</f>
        <v/>
      </c>
      <c r="C38" s="9">
        <f>'3_TF'!C38*'4_IDF'!$E38</f>
        <v/>
      </c>
      <c r="D38" s="9">
        <f>'3_TF'!D38*'4_IDF'!$E38</f>
        <v/>
      </c>
      <c r="E38" s="9">
        <f>'3_TF'!E38*'4_IDF'!$E38</f>
        <v/>
      </c>
      <c r="F38" s="9">
        <f>'3_TF'!F38*'4_IDF'!$E38</f>
        <v/>
      </c>
      <c r="G38" s="9">
        <f>'3_TF'!G38*'4_IDF'!$E38</f>
        <v/>
      </c>
      <c r="H38" s="9">
        <f>'3_TF'!H38*'4_IDF'!$E38</f>
        <v/>
      </c>
      <c r="I38" s="9">
        <f>'3_TF'!I38*'4_IDF'!$E38</f>
        <v/>
      </c>
      <c r="J38" s="9">
        <f>'3_TF'!J38*'4_IDF'!$E38</f>
        <v/>
      </c>
      <c r="K38" s="9">
        <f>'3_TF'!K38*'4_IDF'!$E38</f>
        <v/>
      </c>
      <c r="L38" s="9">
        <f>'3_TF'!L38*'4_IDF'!$E38</f>
        <v/>
      </c>
      <c r="M38" s="9">
        <f>'3_TF'!M38*'4_IDF'!$E38</f>
        <v/>
      </c>
      <c r="O38" s="6">
        <f>A38</f>
        <v/>
      </c>
      <c r="P38" s="9">
        <f>IF(B$227=0,0,B38/B$227)</f>
        <v/>
      </c>
      <c r="Q38" s="9">
        <f>IF(C$227=0,0,C38/C$227)</f>
        <v/>
      </c>
      <c r="R38" s="9">
        <f>IF(D$227=0,0,D38/D$227)</f>
        <v/>
      </c>
      <c r="S38" s="9">
        <f>IF(E$227=0,0,E38/E$227)</f>
        <v/>
      </c>
      <c r="T38" s="9">
        <f>IF(F$227=0,0,F38/F$227)</f>
        <v/>
      </c>
      <c r="U38" s="9">
        <f>IF(G$227=0,0,G38/G$227)</f>
        <v/>
      </c>
      <c r="V38" s="9">
        <f>IF(H$227=0,0,H38/H$227)</f>
        <v/>
      </c>
      <c r="W38" s="9">
        <f>IF(I$227=0,0,I38/I$227)</f>
        <v/>
      </c>
      <c r="X38" s="9">
        <f>IF(J$227=0,0,J38/J$227)</f>
        <v/>
      </c>
      <c r="Y38" s="9">
        <f>IF(K$227=0,0,K38/K$227)</f>
        <v/>
      </c>
      <c r="Z38" s="9">
        <f>IF(L$227=0,0,L38/L$227)</f>
        <v/>
      </c>
      <c r="AA38" s="9">
        <f>IF(M$227=0,0,M38/M$227)</f>
        <v/>
      </c>
      <c r="AB38" s="9">
        <f>AVERAGE(P38,Q38,S38)</f>
        <v/>
      </c>
    </row>
    <row r="39">
      <c r="A39" s="6">
        <f>'3_TF'!A39</f>
        <v/>
      </c>
      <c r="B39" s="9">
        <f>'3_TF'!B39*'4_IDF'!$E39</f>
        <v/>
      </c>
      <c r="C39" s="9">
        <f>'3_TF'!C39*'4_IDF'!$E39</f>
        <v/>
      </c>
      <c r="D39" s="9">
        <f>'3_TF'!D39*'4_IDF'!$E39</f>
        <v/>
      </c>
      <c r="E39" s="9">
        <f>'3_TF'!E39*'4_IDF'!$E39</f>
        <v/>
      </c>
      <c r="F39" s="9">
        <f>'3_TF'!F39*'4_IDF'!$E39</f>
        <v/>
      </c>
      <c r="G39" s="9">
        <f>'3_TF'!G39*'4_IDF'!$E39</f>
        <v/>
      </c>
      <c r="H39" s="9">
        <f>'3_TF'!H39*'4_IDF'!$E39</f>
        <v/>
      </c>
      <c r="I39" s="9">
        <f>'3_TF'!I39*'4_IDF'!$E39</f>
        <v/>
      </c>
      <c r="J39" s="9">
        <f>'3_TF'!J39*'4_IDF'!$E39</f>
        <v/>
      </c>
      <c r="K39" s="9">
        <f>'3_TF'!K39*'4_IDF'!$E39</f>
        <v/>
      </c>
      <c r="L39" s="9">
        <f>'3_TF'!L39*'4_IDF'!$E39</f>
        <v/>
      </c>
      <c r="M39" s="9">
        <f>'3_TF'!M39*'4_IDF'!$E39</f>
        <v/>
      </c>
      <c r="O39" s="6">
        <f>A39</f>
        <v/>
      </c>
      <c r="P39" s="9">
        <f>IF(B$227=0,0,B39/B$227)</f>
        <v/>
      </c>
      <c r="Q39" s="9">
        <f>IF(C$227=0,0,C39/C$227)</f>
        <v/>
      </c>
      <c r="R39" s="9">
        <f>IF(D$227=0,0,D39/D$227)</f>
        <v/>
      </c>
      <c r="S39" s="9">
        <f>IF(E$227=0,0,E39/E$227)</f>
        <v/>
      </c>
      <c r="T39" s="9">
        <f>IF(F$227=0,0,F39/F$227)</f>
        <v/>
      </c>
      <c r="U39" s="9">
        <f>IF(G$227=0,0,G39/G$227)</f>
        <v/>
      </c>
      <c r="V39" s="9">
        <f>IF(H$227=0,0,H39/H$227)</f>
        <v/>
      </c>
      <c r="W39" s="9">
        <f>IF(I$227=0,0,I39/I$227)</f>
        <v/>
      </c>
      <c r="X39" s="9">
        <f>IF(J$227=0,0,J39/J$227)</f>
        <v/>
      </c>
      <c r="Y39" s="9">
        <f>IF(K$227=0,0,K39/K$227)</f>
        <v/>
      </c>
      <c r="Z39" s="9">
        <f>IF(L$227=0,0,L39/L$227)</f>
        <v/>
      </c>
      <c r="AA39" s="9">
        <f>IF(M$227=0,0,M39/M$227)</f>
        <v/>
      </c>
      <c r="AB39" s="9">
        <f>AVERAGE(P39,Q39,S39)</f>
        <v/>
      </c>
    </row>
    <row r="40">
      <c r="A40" s="6">
        <f>'3_TF'!A40</f>
        <v/>
      </c>
      <c r="B40" s="9">
        <f>'3_TF'!B40*'4_IDF'!$E40</f>
        <v/>
      </c>
      <c r="C40" s="9">
        <f>'3_TF'!C40*'4_IDF'!$E40</f>
        <v/>
      </c>
      <c r="D40" s="9">
        <f>'3_TF'!D40*'4_IDF'!$E40</f>
        <v/>
      </c>
      <c r="E40" s="9">
        <f>'3_TF'!E40*'4_IDF'!$E40</f>
        <v/>
      </c>
      <c r="F40" s="9">
        <f>'3_TF'!F40*'4_IDF'!$E40</f>
        <v/>
      </c>
      <c r="G40" s="9">
        <f>'3_TF'!G40*'4_IDF'!$E40</f>
        <v/>
      </c>
      <c r="H40" s="9">
        <f>'3_TF'!H40*'4_IDF'!$E40</f>
        <v/>
      </c>
      <c r="I40" s="9">
        <f>'3_TF'!I40*'4_IDF'!$E40</f>
        <v/>
      </c>
      <c r="J40" s="9">
        <f>'3_TF'!J40*'4_IDF'!$E40</f>
        <v/>
      </c>
      <c r="K40" s="9">
        <f>'3_TF'!K40*'4_IDF'!$E40</f>
        <v/>
      </c>
      <c r="L40" s="9">
        <f>'3_TF'!L40*'4_IDF'!$E40</f>
        <v/>
      </c>
      <c r="M40" s="9">
        <f>'3_TF'!M40*'4_IDF'!$E40</f>
        <v/>
      </c>
      <c r="O40" s="6">
        <f>A40</f>
        <v/>
      </c>
      <c r="P40" s="9">
        <f>IF(B$227=0,0,B40/B$227)</f>
        <v/>
      </c>
      <c r="Q40" s="9">
        <f>IF(C$227=0,0,C40/C$227)</f>
        <v/>
      </c>
      <c r="R40" s="9">
        <f>IF(D$227=0,0,D40/D$227)</f>
        <v/>
      </c>
      <c r="S40" s="9">
        <f>IF(E$227=0,0,E40/E$227)</f>
        <v/>
      </c>
      <c r="T40" s="9">
        <f>IF(F$227=0,0,F40/F$227)</f>
        <v/>
      </c>
      <c r="U40" s="9">
        <f>IF(G$227=0,0,G40/G$227)</f>
        <v/>
      </c>
      <c r="V40" s="9">
        <f>IF(H$227=0,0,H40/H$227)</f>
        <v/>
      </c>
      <c r="W40" s="9">
        <f>IF(I$227=0,0,I40/I$227)</f>
        <v/>
      </c>
      <c r="X40" s="9">
        <f>IF(J$227=0,0,J40/J$227)</f>
        <v/>
      </c>
      <c r="Y40" s="9">
        <f>IF(K$227=0,0,K40/K$227)</f>
        <v/>
      </c>
      <c r="Z40" s="9">
        <f>IF(L$227=0,0,L40/L$227)</f>
        <v/>
      </c>
      <c r="AA40" s="9">
        <f>IF(M$227=0,0,M40/M$227)</f>
        <v/>
      </c>
      <c r="AB40" s="9">
        <f>AVERAGE(P40,Q40,S40)</f>
        <v/>
      </c>
    </row>
    <row r="41">
      <c r="A41" s="6">
        <f>'3_TF'!A41</f>
        <v/>
      </c>
      <c r="B41" s="9">
        <f>'3_TF'!B41*'4_IDF'!$E41</f>
        <v/>
      </c>
      <c r="C41" s="9">
        <f>'3_TF'!C41*'4_IDF'!$E41</f>
        <v/>
      </c>
      <c r="D41" s="9">
        <f>'3_TF'!D41*'4_IDF'!$E41</f>
        <v/>
      </c>
      <c r="E41" s="9">
        <f>'3_TF'!E41*'4_IDF'!$E41</f>
        <v/>
      </c>
      <c r="F41" s="9">
        <f>'3_TF'!F41*'4_IDF'!$E41</f>
        <v/>
      </c>
      <c r="G41" s="9">
        <f>'3_TF'!G41*'4_IDF'!$E41</f>
        <v/>
      </c>
      <c r="H41" s="9">
        <f>'3_TF'!H41*'4_IDF'!$E41</f>
        <v/>
      </c>
      <c r="I41" s="9">
        <f>'3_TF'!I41*'4_IDF'!$E41</f>
        <v/>
      </c>
      <c r="J41" s="9">
        <f>'3_TF'!J41*'4_IDF'!$E41</f>
        <v/>
      </c>
      <c r="K41" s="9">
        <f>'3_TF'!K41*'4_IDF'!$E41</f>
        <v/>
      </c>
      <c r="L41" s="9">
        <f>'3_TF'!L41*'4_IDF'!$E41</f>
        <v/>
      </c>
      <c r="M41" s="9">
        <f>'3_TF'!M41*'4_IDF'!$E41</f>
        <v/>
      </c>
      <c r="O41" s="6">
        <f>A41</f>
        <v/>
      </c>
      <c r="P41" s="9">
        <f>IF(B$227=0,0,B41/B$227)</f>
        <v/>
      </c>
      <c r="Q41" s="9">
        <f>IF(C$227=0,0,C41/C$227)</f>
        <v/>
      </c>
      <c r="R41" s="9">
        <f>IF(D$227=0,0,D41/D$227)</f>
        <v/>
      </c>
      <c r="S41" s="9">
        <f>IF(E$227=0,0,E41/E$227)</f>
        <v/>
      </c>
      <c r="T41" s="9">
        <f>IF(F$227=0,0,F41/F$227)</f>
        <v/>
      </c>
      <c r="U41" s="9">
        <f>IF(G$227=0,0,G41/G$227)</f>
        <v/>
      </c>
      <c r="V41" s="9">
        <f>IF(H$227=0,0,H41/H$227)</f>
        <v/>
      </c>
      <c r="W41" s="9">
        <f>IF(I$227=0,0,I41/I$227)</f>
        <v/>
      </c>
      <c r="X41" s="9">
        <f>IF(J$227=0,0,J41/J$227)</f>
        <v/>
      </c>
      <c r="Y41" s="9">
        <f>IF(K$227=0,0,K41/K$227)</f>
        <v/>
      </c>
      <c r="Z41" s="9">
        <f>IF(L$227=0,0,L41/L$227)</f>
        <v/>
      </c>
      <c r="AA41" s="9">
        <f>IF(M$227=0,0,M41/M$227)</f>
        <v/>
      </c>
      <c r="AB41" s="9">
        <f>AVERAGE(P41,Q41,S41)</f>
        <v/>
      </c>
    </row>
    <row r="42">
      <c r="A42" s="6">
        <f>'3_TF'!A42</f>
        <v/>
      </c>
      <c r="B42" s="9">
        <f>'3_TF'!B42*'4_IDF'!$E42</f>
        <v/>
      </c>
      <c r="C42" s="9">
        <f>'3_TF'!C42*'4_IDF'!$E42</f>
        <v/>
      </c>
      <c r="D42" s="9">
        <f>'3_TF'!D42*'4_IDF'!$E42</f>
        <v/>
      </c>
      <c r="E42" s="9">
        <f>'3_TF'!E42*'4_IDF'!$E42</f>
        <v/>
      </c>
      <c r="F42" s="9">
        <f>'3_TF'!F42*'4_IDF'!$E42</f>
        <v/>
      </c>
      <c r="G42" s="9">
        <f>'3_TF'!G42*'4_IDF'!$E42</f>
        <v/>
      </c>
      <c r="H42" s="9">
        <f>'3_TF'!H42*'4_IDF'!$E42</f>
        <v/>
      </c>
      <c r="I42" s="9">
        <f>'3_TF'!I42*'4_IDF'!$E42</f>
        <v/>
      </c>
      <c r="J42" s="9">
        <f>'3_TF'!J42*'4_IDF'!$E42</f>
        <v/>
      </c>
      <c r="K42" s="9">
        <f>'3_TF'!K42*'4_IDF'!$E42</f>
        <v/>
      </c>
      <c r="L42" s="9">
        <f>'3_TF'!L42*'4_IDF'!$E42</f>
        <v/>
      </c>
      <c r="M42" s="9">
        <f>'3_TF'!M42*'4_IDF'!$E42</f>
        <v/>
      </c>
      <c r="O42" s="6">
        <f>A42</f>
        <v/>
      </c>
      <c r="P42" s="9">
        <f>IF(B$227=0,0,B42/B$227)</f>
        <v/>
      </c>
      <c r="Q42" s="9">
        <f>IF(C$227=0,0,C42/C$227)</f>
        <v/>
      </c>
      <c r="R42" s="9">
        <f>IF(D$227=0,0,D42/D$227)</f>
        <v/>
      </c>
      <c r="S42" s="9">
        <f>IF(E$227=0,0,E42/E$227)</f>
        <v/>
      </c>
      <c r="T42" s="9">
        <f>IF(F$227=0,0,F42/F$227)</f>
        <v/>
      </c>
      <c r="U42" s="9">
        <f>IF(G$227=0,0,G42/G$227)</f>
        <v/>
      </c>
      <c r="V42" s="9">
        <f>IF(H$227=0,0,H42/H$227)</f>
        <v/>
      </c>
      <c r="W42" s="9">
        <f>IF(I$227=0,0,I42/I$227)</f>
        <v/>
      </c>
      <c r="X42" s="9">
        <f>IF(J$227=0,0,J42/J$227)</f>
        <v/>
      </c>
      <c r="Y42" s="9">
        <f>IF(K$227=0,0,K42/K$227)</f>
        <v/>
      </c>
      <c r="Z42" s="9">
        <f>IF(L$227=0,0,L42/L$227)</f>
        <v/>
      </c>
      <c r="AA42" s="9">
        <f>IF(M$227=0,0,M42/M$227)</f>
        <v/>
      </c>
      <c r="AB42" s="9">
        <f>AVERAGE(P42,Q42,S42)</f>
        <v/>
      </c>
    </row>
    <row r="43">
      <c r="A43" s="6">
        <f>'3_TF'!A43</f>
        <v/>
      </c>
      <c r="B43" s="9">
        <f>'3_TF'!B43*'4_IDF'!$E43</f>
        <v/>
      </c>
      <c r="C43" s="9">
        <f>'3_TF'!C43*'4_IDF'!$E43</f>
        <v/>
      </c>
      <c r="D43" s="9">
        <f>'3_TF'!D43*'4_IDF'!$E43</f>
        <v/>
      </c>
      <c r="E43" s="9">
        <f>'3_TF'!E43*'4_IDF'!$E43</f>
        <v/>
      </c>
      <c r="F43" s="9">
        <f>'3_TF'!F43*'4_IDF'!$E43</f>
        <v/>
      </c>
      <c r="G43" s="9">
        <f>'3_TF'!G43*'4_IDF'!$E43</f>
        <v/>
      </c>
      <c r="H43" s="9">
        <f>'3_TF'!H43*'4_IDF'!$E43</f>
        <v/>
      </c>
      <c r="I43" s="9">
        <f>'3_TF'!I43*'4_IDF'!$E43</f>
        <v/>
      </c>
      <c r="J43" s="9">
        <f>'3_TF'!J43*'4_IDF'!$E43</f>
        <v/>
      </c>
      <c r="K43" s="9">
        <f>'3_TF'!K43*'4_IDF'!$E43</f>
        <v/>
      </c>
      <c r="L43" s="9">
        <f>'3_TF'!L43*'4_IDF'!$E43</f>
        <v/>
      </c>
      <c r="M43" s="9">
        <f>'3_TF'!M43*'4_IDF'!$E43</f>
        <v/>
      </c>
      <c r="O43" s="6">
        <f>A43</f>
        <v/>
      </c>
      <c r="P43" s="9">
        <f>IF(B$227=0,0,B43/B$227)</f>
        <v/>
      </c>
      <c r="Q43" s="9">
        <f>IF(C$227=0,0,C43/C$227)</f>
        <v/>
      </c>
      <c r="R43" s="9">
        <f>IF(D$227=0,0,D43/D$227)</f>
        <v/>
      </c>
      <c r="S43" s="9">
        <f>IF(E$227=0,0,E43/E$227)</f>
        <v/>
      </c>
      <c r="T43" s="9">
        <f>IF(F$227=0,0,F43/F$227)</f>
        <v/>
      </c>
      <c r="U43" s="9">
        <f>IF(G$227=0,0,G43/G$227)</f>
        <v/>
      </c>
      <c r="V43" s="9">
        <f>IF(H$227=0,0,H43/H$227)</f>
        <v/>
      </c>
      <c r="W43" s="9">
        <f>IF(I$227=0,0,I43/I$227)</f>
        <v/>
      </c>
      <c r="X43" s="9">
        <f>IF(J$227=0,0,J43/J$227)</f>
        <v/>
      </c>
      <c r="Y43" s="9">
        <f>IF(K$227=0,0,K43/K$227)</f>
        <v/>
      </c>
      <c r="Z43" s="9">
        <f>IF(L$227=0,0,L43/L$227)</f>
        <v/>
      </c>
      <c r="AA43" s="9">
        <f>IF(M$227=0,0,M43/M$227)</f>
        <v/>
      </c>
      <c r="AB43" s="9">
        <f>AVERAGE(P43,Q43,S43)</f>
        <v/>
      </c>
    </row>
    <row r="44">
      <c r="A44" s="6">
        <f>'3_TF'!A44</f>
        <v/>
      </c>
      <c r="B44" s="9">
        <f>'3_TF'!B44*'4_IDF'!$E44</f>
        <v/>
      </c>
      <c r="C44" s="9">
        <f>'3_TF'!C44*'4_IDF'!$E44</f>
        <v/>
      </c>
      <c r="D44" s="9">
        <f>'3_TF'!D44*'4_IDF'!$E44</f>
        <v/>
      </c>
      <c r="E44" s="9">
        <f>'3_TF'!E44*'4_IDF'!$E44</f>
        <v/>
      </c>
      <c r="F44" s="9">
        <f>'3_TF'!F44*'4_IDF'!$E44</f>
        <v/>
      </c>
      <c r="G44" s="9">
        <f>'3_TF'!G44*'4_IDF'!$E44</f>
        <v/>
      </c>
      <c r="H44" s="9">
        <f>'3_TF'!H44*'4_IDF'!$E44</f>
        <v/>
      </c>
      <c r="I44" s="9">
        <f>'3_TF'!I44*'4_IDF'!$E44</f>
        <v/>
      </c>
      <c r="J44" s="9">
        <f>'3_TF'!J44*'4_IDF'!$E44</f>
        <v/>
      </c>
      <c r="K44" s="9">
        <f>'3_TF'!K44*'4_IDF'!$E44</f>
        <v/>
      </c>
      <c r="L44" s="9">
        <f>'3_TF'!L44*'4_IDF'!$E44</f>
        <v/>
      </c>
      <c r="M44" s="9">
        <f>'3_TF'!M44*'4_IDF'!$E44</f>
        <v/>
      </c>
      <c r="O44" s="6">
        <f>A44</f>
        <v/>
      </c>
      <c r="P44" s="9">
        <f>IF(B$227=0,0,B44/B$227)</f>
        <v/>
      </c>
      <c r="Q44" s="9">
        <f>IF(C$227=0,0,C44/C$227)</f>
        <v/>
      </c>
      <c r="R44" s="9">
        <f>IF(D$227=0,0,D44/D$227)</f>
        <v/>
      </c>
      <c r="S44" s="9">
        <f>IF(E$227=0,0,E44/E$227)</f>
        <v/>
      </c>
      <c r="T44" s="9">
        <f>IF(F$227=0,0,F44/F$227)</f>
        <v/>
      </c>
      <c r="U44" s="9">
        <f>IF(G$227=0,0,G44/G$227)</f>
        <v/>
      </c>
      <c r="V44" s="9">
        <f>IF(H$227=0,0,H44/H$227)</f>
        <v/>
      </c>
      <c r="W44" s="9">
        <f>IF(I$227=0,0,I44/I$227)</f>
        <v/>
      </c>
      <c r="X44" s="9">
        <f>IF(J$227=0,0,J44/J$227)</f>
        <v/>
      </c>
      <c r="Y44" s="9">
        <f>IF(K$227=0,0,K44/K$227)</f>
        <v/>
      </c>
      <c r="Z44" s="9">
        <f>IF(L$227=0,0,L44/L$227)</f>
        <v/>
      </c>
      <c r="AA44" s="9">
        <f>IF(M$227=0,0,M44/M$227)</f>
        <v/>
      </c>
      <c r="AB44" s="9">
        <f>AVERAGE(P44,Q44,S44)</f>
        <v/>
      </c>
    </row>
    <row r="45">
      <c r="A45" s="6">
        <f>'3_TF'!A45</f>
        <v/>
      </c>
      <c r="B45" s="9">
        <f>'3_TF'!B45*'4_IDF'!$E45</f>
        <v/>
      </c>
      <c r="C45" s="9">
        <f>'3_TF'!C45*'4_IDF'!$E45</f>
        <v/>
      </c>
      <c r="D45" s="9">
        <f>'3_TF'!D45*'4_IDF'!$E45</f>
        <v/>
      </c>
      <c r="E45" s="9">
        <f>'3_TF'!E45*'4_IDF'!$E45</f>
        <v/>
      </c>
      <c r="F45" s="9">
        <f>'3_TF'!F45*'4_IDF'!$E45</f>
        <v/>
      </c>
      <c r="G45" s="9">
        <f>'3_TF'!G45*'4_IDF'!$E45</f>
        <v/>
      </c>
      <c r="H45" s="9">
        <f>'3_TF'!H45*'4_IDF'!$E45</f>
        <v/>
      </c>
      <c r="I45" s="9">
        <f>'3_TF'!I45*'4_IDF'!$E45</f>
        <v/>
      </c>
      <c r="J45" s="9">
        <f>'3_TF'!J45*'4_IDF'!$E45</f>
        <v/>
      </c>
      <c r="K45" s="9">
        <f>'3_TF'!K45*'4_IDF'!$E45</f>
        <v/>
      </c>
      <c r="L45" s="9">
        <f>'3_TF'!L45*'4_IDF'!$E45</f>
        <v/>
      </c>
      <c r="M45" s="9">
        <f>'3_TF'!M45*'4_IDF'!$E45</f>
        <v/>
      </c>
      <c r="O45" s="6">
        <f>A45</f>
        <v/>
      </c>
      <c r="P45" s="9">
        <f>IF(B$227=0,0,B45/B$227)</f>
        <v/>
      </c>
      <c r="Q45" s="9">
        <f>IF(C$227=0,0,C45/C$227)</f>
        <v/>
      </c>
      <c r="R45" s="9">
        <f>IF(D$227=0,0,D45/D$227)</f>
        <v/>
      </c>
      <c r="S45" s="9">
        <f>IF(E$227=0,0,E45/E$227)</f>
        <v/>
      </c>
      <c r="T45" s="9">
        <f>IF(F$227=0,0,F45/F$227)</f>
        <v/>
      </c>
      <c r="U45" s="9">
        <f>IF(G$227=0,0,G45/G$227)</f>
        <v/>
      </c>
      <c r="V45" s="9">
        <f>IF(H$227=0,0,H45/H$227)</f>
        <v/>
      </c>
      <c r="W45" s="9">
        <f>IF(I$227=0,0,I45/I$227)</f>
        <v/>
      </c>
      <c r="X45" s="9">
        <f>IF(J$227=0,0,J45/J$227)</f>
        <v/>
      </c>
      <c r="Y45" s="9">
        <f>IF(K$227=0,0,K45/K$227)</f>
        <v/>
      </c>
      <c r="Z45" s="9">
        <f>IF(L$227=0,0,L45/L$227)</f>
        <v/>
      </c>
      <c r="AA45" s="9">
        <f>IF(M$227=0,0,M45/M$227)</f>
        <v/>
      </c>
      <c r="AB45" s="9">
        <f>AVERAGE(P45,Q45,S45)</f>
        <v/>
      </c>
    </row>
    <row r="46">
      <c r="A46" s="6">
        <f>'3_TF'!A46</f>
        <v/>
      </c>
      <c r="B46" s="9">
        <f>'3_TF'!B46*'4_IDF'!$E46</f>
        <v/>
      </c>
      <c r="C46" s="9">
        <f>'3_TF'!C46*'4_IDF'!$E46</f>
        <v/>
      </c>
      <c r="D46" s="9">
        <f>'3_TF'!D46*'4_IDF'!$E46</f>
        <v/>
      </c>
      <c r="E46" s="9">
        <f>'3_TF'!E46*'4_IDF'!$E46</f>
        <v/>
      </c>
      <c r="F46" s="9">
        <f>'3_TF'!F46*'4_IDF'!$E46</f>
        <v/>
      </c>
      <c r="G46" s="9">
        <f>'3_TF'!G46*'4_IDF'!$E46</f>
        <v/>
      </c>
      <c r="H46" s="9">
        <f>'3_TF'!H46*'4_IDF'!$E46</f>
        <v/>
      </c>
      <c r="I46" s="9">
        <f>'3_TF'!I46*'4_IDF'!$E46</f>
        <v/>
      </c>
      <c r="J46" s="9">
        <f>'3_TF'!J46*'4_IDF'!$E46</f>
        <v/>
      </c>
      <c r="K46" s="9">
        <f>'3_TF'!K46*'4_IDF'!$E46</f>
        <v/>
      </c>
      <c r="L46" s="9">
        <f>'3_TF'!L46*'4_IDF'!$E46</f>
        <v/>
      </c>
      <c r="M46" s="9">
        <f>'3_TF'!M46*'4_IDF'!$E46</f>
        <v/>
      </c>
      <c r="O46" s="6">
        <f>A46</f>
        <v/>
      </c>
      <c r="P46" s="9">
        <f>IF(B$227=0,0,B46/B$227)</f>
        <v/>
      </c>
      <c r="Q46" s="9">
        <f>IF(C$227=0,0,C46/C$227)</f>
        <v/>
      </c>
      <c r="R46" s="9">
        <f>IF(D$227=0,0,D46/D$227)</f>
        <v/>
      </c>
      <c r="S46" s="9">
        <f>IF(E$227=0,0,E46/E$227)</f>
        <v/>
      </c>
      <c r="T46" s="9">
        <f>IF(F$227=0,0,F46/F$227)</f>
        <v/>
      </c>
      <c r="U46" s="9">
        <f>IF(G$227=0,0,G46/G$227)</f>
        <v/>
      </c>
      <c r="V46" s="9">
        <f>IF(H$227=0,0,H46/H$227)</f>
        <v/>
      </c>
      <c r="W46" s="9">
        <f>IF(I$227=0,0,I46/I$227)</f>
        <v/>
      </c>
      <c r="X46" s="9">
        <f>IF(J$227=0,0,J46/J$227)</f>
        <v/>
      </c>
      <c r="Y46" s="9">
        <f>IF(K$227=0,0,K46/K$227)</f>
        <v/>
      </c>
      <c r="Z46" s="9">
        <f>IF(L$227=0,0,L46/L$227)</f>
        <v/>
      </c>
      <c r="AA46" s="9">
        <f>IF(M$227=0,0,M46/M$227)</f>
        <v/>
      </c>
      <c r="AB46" s="9">
        <f>AVERAGE(P46,Q46,S46)</f>
        <v/>
      </c>
    </row>
    <row r="47">
      <c r="A47" s="6">
        <f>'3_TF'!A47</f>
        <v/>
      </c>
      <c r="B47" s="9">
        <f>'3_TF'!B47*'4_IDF'!$E47</f>
        <v/>
      </c>
      <c r="C47" s="9">
        <f>'3_TF'!C47*'4_IDF'!$E47</f>
        <v/>
      </c>
      <c r="D47" s="9">
        <f>'3_TF'!D47*'4_IDF'!$E47</f>
        <v/>
      </c>
      <c r="E47" s="9">
        <f>'3_TF'!E47*'4_IDF'!$E47</f>
        <v/>
      </c>
      <c r="F47" s="9">
        <f>'3_TF'!F47*'4_IDF'!$E47</f>
        <v/>
      </c>
      <c r="G47" s="9">
        <f>'3_TF'!G47*'4_IDF'!$E47</f>
        <v/>
      </c>
      <c r="H47" s="9">
        <f>'3_TF'!H47*'4_IDF'!$E47</f>
        <v/>
      </c>
      <c r="I47" s="9">
        <f>'3_TF'!I47*'4_IDF'!$E47</f>
        <v/>
      </c>
      <c r="J47" s="9">
        <f>'3_TF'!J47*'4_IDF'!$E47</f>
        <v/>
      </c>
      <c r="K47" s="9">
        <f>'3_TF'!K47*'4_IDF'!$E47</f>
        <v/>
      </c>
      <c r="L47" s="9">
        <f>'3_TF'!L47*'4_IDF'!$E47</f>
        <v/>
      </c>
      <c r="M47" s="9">
        <f>'3_TF'!M47*'4_IDF'!$E47</f>
        <v/>
      </c>
      <c r="O47" s="6">
        <f>A47</f>
        <v/>
      </c>
      <c r="P47" s="9">
        <f>IF(B$227=0,0,B47/B$227)</f>
        <v/>
      </c>
      <c r="Q47" s="9">
        <f>IF(C$227=0,0,C47/C$227)</f>
        <v/>
      </c>
      <c r="R47" s="9">
        <f>IF(D$227=0,0,D47/D$227)</f>
        <v/>
      </c>
      <c r="S47" s="9">
        <f>IF(E$227=0,0,E47/E$227)</f>
        <v/>
      </c>
      <c r="T47" s="9">
        <f>IF(F$227=0,0,F47/F$227)</f>
        <v/>
      </c>
      <c r="U47" s="9">
        <f>IF(G$227=0,0,G47/G$227)</f>
        <v/>
      </c>
      <c r="V47" s="9">
        <f>IF(H$227=0,0,H47/H$227)</f>
        <v/>
      </c>
      <c r="W47" s="9">
        <f>IF(I$227=0,0,I47/I$227)</f>
        <v/>
      </c>
      <c r="X47" s="9">
        <f>IF(J$227=0,0,J47/J$227)</f>
        <v/>
      </c>
      <c r="Y47" s="9">
        <f>IF(K$227=0,0,K47/K$227)</f>
        <v/>
      </c>
      <c r="Z47" s="9">
        <f>IF(L$227=0,0,L47/L$227)</f>
        <v/>
      </c>
      <c r="AA47" s="9">
        <f>IF(M$227=0,0,M47/M$227)</f>
        <v/>
      </c>
      <c r="AB47" s="9">
        <f>AVERAGE(P47,Q47,S47)</f>
        <v/>
      </c>
    </row>
    <row r="48">
      <c r="A48" s="6">
        <f>'3_TF'!A48</f>
        <v/>
      </c>
      <c r="B48" s="9">
        <f>'3_TF'!B48*'4_IDF'!$E48</f>
        <v/>
      </c>
      <c r="C48" s="9">
        <f>'3_TF'!C48*'4_IDF'!$E48</f>
        <v/>
      </c>
      <c r="D48" s="9">
        <f>'3_TF'!D48*'4_IDF'!$E48</f>
        <v/>
      </c>
      <c r="E48" s="9">
        <f>'3_TF'!E48*'4_IDF'!$E48</f>
        <v/>
      </c>
      <c r="F48" s="9">
        <f>'3_TF'!F48*'4_IDF'!$E48</f>
        <v/>
      </c>
      <c r="G48" s="9">
        <f>'3_TF'!G48*'4_IDF'!$E48</f>
        <v/>
      </c>
      <c r="H48" s="9">
        <f>'3_TF'!H48*'4_IDF'!$E48</f>
        <v/>
      </c>
      <c r="I48" s="9">
        <f>'3_TF'!I48*'4_IDF'!$E48</f>
        <v/>
      </c>
      <c r="J48" s="9">
        <f>'3_TF'!J48*'4_IDF'!$E48</f>
        <v/>
      </c>
      <c r="K48" s="9">
        <f>'3_TF'!K48*'4_IDF'!$E48</f>
        <v/>
      </c>
      <c r="L48" s="9">
        <f>'3_TF'!L48*'4_IDF'!$E48</f>
        <v/>
      </c>
      <c r="M48" s="9">
        <f>'3_TF'!M48*'4_IDF'!$E48</f>
        <v/>
      </c>
      <c r="O48" s="6">
        <f>A48</f>
        <v/>
      </c>
      <c r="P48" s="9">
        <f>IF(B$227=0,0,B48/B$227)</f>
        <v/>
      </c>
      <c r="Q48" s="9">
        <f>IF(C$227=0,0,C48/C$227)</f>
        <v/>
      </c>
      <c r="R48" s="9">
        <f>IF(D$227=0,0,D48/D$227)</f>
        <v/>
      </c>
      <c r="S48" s="9">
        <f>IF(E$227=0,0,E48/E$227)</f>
        <v/>
      </c>
      <c r="T48" s="9">
        <f>IF(F$227=0,0,F48/F$227)</f>
        <v/>
      </c>
      <c r="U48" s="9">
        <f>IF(G$227=0,0,G48/G$227)</f>
        <v/>
      </c>
      <c r="V48" s="9">
        <f>IF(H$227=0,0,H48/H$227)</f>
        <v/>
      </c>
      <c r="W48" s="9">
        <f>IF(I$227=0,0,I48/I$227)</f>
        <v/>
      </c>
      <c r="X48" s="9">
        <f>IF(J$227=0,0,J48/J$227)</f>
        <v/>
      </c>
      <c r="Y48" s="9">
        <f>IF(K$227=0,0,K48/K$227)</f>
        <v/>
      </c>
      <c r="Z48" s="9">
        <f>IF(L$227=0,0,L48/L$227)</f>
        <v/>
      </c>
      <c r="AA48" s="9">
        <f>IF(M$227=0,0,M48/M$227)</f>
        <v/>
      </c>
      <c r="AB48" s="9">
        <f>AVERAGE(P48,Q48,S48)</f>
        <v/>
      </c>
    </row>
    <row r="49">
      <c r="A49" s="6">
        <f>'3_TF'!A49</f>
        <v/>
      </c>
      <c r="B49" s="9">
        <f>'3_TF'!B49*'4_IDF'!$E49</f>
        <v/>
      </c>
      <c r="C49" s="9">
        <f>'3_TF'!C49*'4_IDF'!$E49</f>
        <v/>
      </c>
      <c r="D49" s="9">
        <f>'3_TF'!D49*'4_IDF'!$E49</f>
        <v/>
      </c>
      <c r="E49" s="9">
        <f>'3_TF'!E49*'4_IDF'!$E49</f>
        <v/>
      </c>
      <c r="F49" s="9">
        <f>'3_TF'!F49*'4_IDF'!$E49</f>
        <v/>
      </c>
      <c r="G49" s="9">
        <f>'3_TF'!G49*'4_IDF'!$E49</f>
        <v/>
      </c>
      <c r="H49" s="9">
        <f>'3_TF'!H49*'4_IDF'!$E49</f>
        <v/>
      </c>
      <c r="I49" s="9">
        <f>'3_TF'!I49*'4_IDF'!$E49</f>
        <v/>
      </c>
      <c r="J49" s="9">
        <f>'3_TF'!J49*'4_IDF'!$E49</f>
        <v/>
      </c>
      <c r="K49" s="9">
        <f>'3_TF'!K49*'4_IDF'!$E49</f>
        <v/>
      </c>
      <c r="L49" s="9">
        <f>'3_TF'!L49*'4_IDF'!$E49</f>
        <v/>
      </c>
      <c r="M49" s="9">
        <f>'3_TF'!M49*'4_IDF'!$E49</f>
        <v/>
      </c>
      <c r="O49" s="6">
        <f>A49</f>
        <v/>
      </c>
      <c r="P49" s="9">
        <f>IF(B$227=0,0,B49/B$227)</f>
        <v/>
      </c>
      <c r="Q49" s="9">
        <f>IF(C$227=0,0,C49/C$227)</f>
        <v/>
      </c>
      <c r="R49" s="9">
        <f>IF(D$227=0,0,D49/D$227)</f>
        <v/>
      </c>
      <c r="S49" s="9">
        <f>IF(E$227=0,0,E49/E$227)</f>
        <v/>
      </c>
      <c r="T49" s="9">
        <f>IF(F$227=0,0,F49/F$227)</f>
        <v/>
      </c>
      <c r="U49" s="9">
        <f>IF(G$227=0,0,G49/G$227)</f>
        <v/>
      </c>
      <c r="V49" s="9">
        <f>IF(H$227=0,0,H49/H$227)</f>
        <v/>
      </c>
      <c r="W49" s="9">
        <f>IF(I$227=0,0,I49/I$227)</f>
        <v/>
      </c>
      <c r="X49" s="9">
        <f>IF(J$227=0,0,J49/J$227)</f>
        <v/>
      </c>
      <c r="Y49" s="9">
        <f>IF(K$227=0,0,K49/K$227)</f>
        <v/>
      </c>
      <c r="Z49" s="9">
        <f>IF(L$227=0,0,L49/L$227)</f>
        <v/>
      </c>
      <c r="AA49" s="9">
        <f>IF(M$227=0,0,M49/M$227)</f>
        <v/>
      </c>
      <c r="AB49" s="9">
        <f>AVERAGE(P49,Q49,S49)</f>
        <v/>
      </c>
    </row>
    <row r="50">
      <c r="A50" s="6">
        <f>'3_TF'!A50</f>
        <v/>
      </c>
      <c r="B50" s="9">
        <f>'3_TF'!B50*'4_IDF'!$E50</f>
        <v/>
      </c>
      <c r="C50" s="9">
        <f>'3_TF'!C50*'4_IDF'!$E50</f>
        <v/>
      </c>
      <c r="D50" s="9">
        <f>'3_TF'!D50*'4_IDF'!$E50</f>
        <v/>
      </c>
      <c r="E50" s="9">
        <f>'3_TF'!E50*'4_IDF'!$E50</f>
        <v/>
      </c>
      <c r="F50" s="9">
        <f>'3_TF'!F50*'4_IDF'!$E50</f>
        <v/>
      </c>
      <c r="G50" s="9">
        <f>'3_TF'!G50*'4_IDF'!$E50</f>
        <v/>
      </c>
      <c r="H50" s="9">
        <f>'3_TF'!H50*'4_IDF'!$E50</f>
        <v/>
      </c>
      <c r="I50" s="9">
        <f>'3_TF'!I50*'4_IDF'!$E50</f>
        <v/>
      </c>
      <c r="J50" s="9">
        <f>'3_TF'!J50*'4_IDF'!$E50</f>
        <v/>
      </c>
      <c r="K50" s="9">
        <f>'3_TF'!K50*'4_IDF'!$E50</f>
        <v/>
      </c>
      <c r="L50" s="9">
        <f>'3_TF'!L50*'4_IDF'!$E50</f>
        <v/>
      </c>
      <c r="M50" s="9">
        <f>'3_TF'!M50*'4_IDF'!$E50</f>
        <v/>
      </c>
      <c r="O50" s="6">
        <f>A50</f>
        <v/>
      </c>
      <c r="P50" s="9">
        <f>IF(B$227=0,0,B50/B$227)</f>
        <v/>
      </c>
      <c r="Q50" s="9">
        <f>IF(C$227=0,0,C50/C$227)</f>
        <v/>
      </c>
      <c r="R50" s="9">
        <f>IF(D$227=0,0,D50/D$227)</f>
        <v/>
      </c>
      <c r="S50" s="9">
        <f>IF(E$227=0,0,E50/E$227)</f>
        <v/>
      </c>
      <c r="T50" s="9">
        <f>IF(F$227=0,0,F50/F$227)</f>
        <v/>
      </c>
      <c r="U50" s="9">
        <f>IF(G$227=0,0,G50/G$227)</f>
        <v/>
      </c>
      <c r="V50" s="9">
        <f>IF(H$227=0,0,H50/H$227)</f>
        <v/>
      </c>
      <c r="W50" s="9">
        <f>IF(I$227=0,0,I50/I$227)</f>
        <v/>
      </c>
      <c r="X50" s="9">
        <f>IF(J$227=0,0,J50/J$227)</f>
        <v/>
      </c>
      <c r="Y50" s="9">
        <f>IF(K$227=0,0,K50/K$227)</f>
        <v/>
      </c>
      <c r="Z50" s="9">
        <f>IF(L$227=0,0,L50/L$227)</f>
        <v/>
      </c>
      <c r="AA50" s="9">
        <f>IF(M$227=0,0,M50/M$227)</f>
        <v/>
      </c>
      <c r="AB50" s="9">
        <f>AVERAGE(P50,Q50,S50)</f>
        <v/>
      </c>
    </row>
    <row r="51">
      <c r="A51" s="6">
        <f>'3_TF'!A51</f>
        <v/>
      </c>
      <c r="B51" s="9">
        <f>'3_TF'!B51*'4_IDF'!$E51</f>
        <v/>
      </c>
      <c r="C51" s="9">
        <f>'3_TF'!C51*'4_IDF'!$E51</f>
        <v/>
      </c>
      <c r="D51" s="9">
        <f>'3_TF'!D51*'4_IDF'!$E51</f>
        <v/>
      </c>
      <c r="E51" s="9">
        <f>'3_TF'!E51*'4_IDF'!$E51</f>
        <v/>
      </c>
      <c r="F51" s="9">
        <f>'3_TF'!F51*'4_IDF'!$E51</f>
        <v/>
      </c>
      <c r="G51" s="9">
        <f>'3_TF'!G51*'4_IDF'!$E51</f>
        <v/>
      </c>
      <c r="H51" s="9">
        <f>'3_TF'!H51*'4_IDF'!$E51</f>
        <v/>
      </c>
      <c r="I51" s="9">
        <f>'3_TF'!I51*'4_IDF'!$E51</f>
        <v/>
      </c>
      <c r="J51" s="9">
        <f>'3_TF'!J51*'4_IDF'!$E51</f>
        <v/>
      </c>
      <c r="K51" s="9">
        <f>'3_TF'!K51*'4_IDF'!$E51</f>
        <v/>
      </c>
      <c r="L51" s="9">
        <f>'3_TF'!L51*'4_IDF'!$E51</f>
        <v/>
      </c>
      <c r="M51" s="9">
        <f>'3_TF'!M51*'4_IDF'!$E51</f>
        <v/>
      </c>
      <c r="O51" s="6">
        <f>A51</f>
        <v/>
      </c>
      <c r="P51" s="9">
        <f>IF(B$227=0,0,B51/B$227)</f>
        <v/>
      </c>
      <c r="Q51" s="9">
        <f>IF(C$227=0,0,C51/C$227)</f>
        <v/>
      </c>
      <c r="R51" s="9">
        <f>IF(D$227=0,0,D51/D$227)</f>
        <v/>
      </c>
      <c r="S51" s="9">
        <f>IF(E$227=0,0,E51/E$227)</f>
        <v/>
      </c>
      <c r="T51" s="9">
        <f>IF(F$227=0,0,F51/F$227)</f>
        <v/>
      </c>
      <c r="U51" s="9">
        <f>IF(G$227=0,0,G51/G$227)</f>
        <v/>
      </c>
      <c r="V51" s="9">
        <f>IF(H$227=0,0,H51/H$227)</f>
        <v/>
      </c>
      <c r="W51" s="9">
        <f>IF(I$227=0,0,I51/I$227)</f>
        <v/>
      </c>
      <c r="X51" s="9">
        <f>IF(J$227=0,0,J51/J$227)</f>
        <v/>
      </c>
      <c r="Y51" s="9">
        <f>IF(K$227=0,0,K51/K$227)</f>
        <v/>
      </c>
      <c r="Z51" s="9">
        <f>IF(L$227=0,0,L51/L$227)</f>
        <v/>
      </c>
      <c r="AA51" s="9">
        <f>IF(M$227=0,0,M51/M$227)</f>
        <v/>
      </c>
      <c r="AB51" s="9">
        <f>AVERAGE(P51,Q51,S51)</f>
        <v/>
      </c>
    </row>
    <row r="52">
      <c r="A52" s="6">
        <f>'3_TF'!A52</f>
        <v/>
      </c>
      <c r="B52" s="9">
        <f>'3_TF'!B52*'4_IDF'!$E52</f>
        <v/>
      </c>
      <c r="C52" s="9">
        <f>'3_TF'!C52*'4_IDF'!$E52</f>
        <v/>
      </c>
      <c r="D52" s="9">
        <f>'3_TF'!D52*'4_IDF'!$E52</f>
        <v/>
      </c>
      <c r="E52" s="9">
        <f>'3_TF'!E52*'4_IDF'!$E52</f>
        <v/>
      </c>
      <c r="F52" s="9">
        <f>'3_TF'!F52*'4_IDF'!$E52</f>
        <v/>
      </c>
      <c r="G52" s="9">
        <f>'3_TF'!G52*'4_IDF'!$E52</f>
        <v/>
      </c>
      <c r="H52" s="9">
        <f>'3_TF'!H52*'4_IDF'!$E52</f>
        <v/>
      </c>
      <c r="I52" s="9">
        <f>'3_TF'!I52*'4_IDF'!$E52</f>
        <v/>
      </c>
      <c r="J52" s="9">
        <f>'3_TF'!J52*'4_IDF'!$E52</f>
        <v/>
      </c>
      <c r="K52" s="9">
        <f>'3_TF'!K52*'4_IDF'!$E52</f>
        <v/>
      </c>
      <c r="L52" s="9">
        <f>'3_TF'!L52*'4_IDF'!$E52</f>
        <v/>
      </c>
      <c r="M52" s="9">
        <f>'3_TF'!M52*'4_IDF'!$E52</f>
        <v/>
      </c>
      <c r="O52" s="6">
        <f>A52</f>
        <v/>
      </c>
      <c r="P52" s="9">
        <f>IF(B$227=0,0,B52/B$227)</f>
        <v/>
      </c>
      <c r="Q52" s="9">
        <f>IF(C$227=0,0,C52/C$227)</f>
        <v/>
      </c>
      <c r="R52" s="9">
        <f>IF(D$227=0,0,D52/D$227)</f>
        <v/>
      </c>
      <c r="S52" s="9">
        <f>IF(E$227=0,0,E52/E$227)</f>
        <v/>
      </c>
      <c r="T52" s="9">
        <f>IF(F$227=0,0,F52/F$227)</f>
        <v/>
      </c>
      <c r="U52" s="9">
        <f>IF(G$227=0,0,G52/G$227)</f>
        <v/>
      </c>
      <c r="V52" s="9">
        <f>IF(H$227=0,0,H52/H$227)</f>
        <v/>
      </c>
      <c r="W52" s="9">
        <f>IF(I$227=0,0,I52/I$227)</f>
        <v/>
      </c>
      <c r="X52" s="9">
        <f>IF(J$227=0,0,J52/J$227)</f>
        <v/>
      </c>
      <c r="Y52" s="9">
        <f>IF(K$227=0,0,K52/K$227)</f>
        <v/>
      </c>
      <c r="Z52" s="9">
        <f>IF(L$227=0,0,L52/L$227)</f>
        <v/>
      </c>
      <c r="AA52" s="9">
        <f>IF(M$227=0,0,M52/M$227)</f>
        <v/>
      </c>
      <c r="AB52" s="9">
        <f>AVERAGE(P52,Q52,S52)</f>
        <v/>
      </c>
    </row>
    <row r="53">
      <c r="A53" s="6">
        <f>'3_TF'!A53</f>
        <v/>
      </c>
      <c r="B53" s="9">
        <f>'3_TF'!B53*'4_IDF'!$E53</f>
        <v/>
      </c>
      <c r="C53" s="9">
        <f>'3_TF'!C53*'4_IDF'!$E53</f>
        <v/>
      </c>
      <c r="D53" s="9">
        <f>'3_TF'!D53*'4_IDF'!$E53</f>
        <v/>
      </c>
      <c r="E53" s="9">
        <f>'3_TF'!E53*'4_IDF'!$E53</f>
        <v/>
      </c>
      <c r="F53" s="9">
        <f>'3_TF'!F53*'4_IDF'!$E53</f>
        <v/>
      </c>
      <c r="G53" s="9">
        <f>'3_TF'!G53*'4_IDF'!$E53</f>
        <v/>
      </c>
      <c r="H53" s="9">
        <f>'3_TF'!H53*'4_IDF'!$E53</f>
        <v/>
      </c>
      <c r="I53" s="9">
        <f>'3_TF'!I53*'4_IDF'!$E53</f>
        <v/>
      </c>
      <c r="J53" s="9">
        <f>'3_TF'!J53*'4_IDF'!$E53</f>
        <v/>
      </c>
      <c r="K53" s="9">
        <f>'3_TF'!K53*'4_IDF'!$E53</f>
        <v/>
      </c>
      <c r="L53" s="9">
        <f>'3_TF'!L53*'4_IDF'!$E53</f>
        <v/>
      </c>
      <c r="M53" s="9">
        <f>'3_TF'!M53*'4_IDF'!$E53</f>
        <v/>
      </c>
      <c r="O53" s="6">
        <f>A53</f>
        <v/>
      </c>
      <c r="P53" s="9">
        <f>IF(B$227=0,0,B53/B$227)</f>
        <v/>
      </c>
      <c r="Q53" s="9">
        <f>IF(C$227=0,0,C53/C$227)</f>
        <v/>
      </c>
      <c r="R53" s="9">
        <f>IF(D$227=0,0,D53/D$227)</f>
        <v/>
      </c>
      <c r="S53" s="9">
        <f>IF(E$227=0,0,E53/E$227)</f>
        <v/>
      </c>
      <c r="T53" s="9">
        <f>IF(F$227=0,0,F53/F$227)</f>
        <v/>
      </c>
      <c r="U53" s="9">
        <f>IF(G$227=0,0,G53/G$227)</f>
        <v/>
      </c>
      <c r="V53" s="9">
        <f>IF(H$227=0,0,H53/H$227)</f>
        <v/>
      </c>
      <c r="W53" s="9">
        <f>IF(I$227=0,0,I53/I$227)</f>
        <v/>
      </c>
      <c r="X53" s="9">
        <f>IF(J$227=0,0,J53/J$227)</f>
        <v/>
      </c>
      <c r="Y53" s="9">
        <f>IF(K$227=0,0,K53/K$227)</f>
        <v/>
      </c>
      <c r="Z53" s="9">
        <f>IF(L$227=0,0,L53/L$227)</f>
        <v/>
      </c>
      <c r="AA53" s="9">
        <f>IF(M$227=0,0,M53/M$227)</f>
        <v/>
      </c>
      <c r="AB53" s="9">
        <f>AVERAGE(P53,Q53,S53)</f>
        <v/>
      </c>
    </row>
    <row r="54">
      <c r="A54" s="6">
        <f>'3_TF'!A54</f>
        <v/>
      </c>
      <c r="B54" s="9">
        <f>'3_TF'!B54*'4_IDF'!$E54</f>
        <v/>
      </c>
      <c r="C54" s="9">
        <f>'3_TF'!C54*'4_IDF'!$E54</f>
        <v/>
      </c>
      <c r="D54" s="9">
        <f>'3_TF'!D54*'4_IDF'!$E54</f>
        <v/>
      </c>
      <c r="E54" s="9">
        <f>'3_TF'!E54*'4_IDF'!$E54</f>
        <v/>
      </c>
      <c r="F54" s="9">
        <f>'3_TF'!F54*'4_IDF'!$E54</f>
        <v/>
      </c>
      <c r="G54" s="9">
        <f>'3_TF'!G54*'4_IDF'!$E54</f>
        <v/>
      </c>
      <c r="H54" s="9">
        <f>'3_TF'!H54*'4_IDF'!$E54</f>
        <v/>
      </c>
      <c r="I54" s="9">
        <f>'3_TF'!I54*'4_IDF'!$E54</f>
        <v/>
      </c>
      <c r="J54" s="9">
        <f>'3_TF'!J54*'4_IDF'!$E54</f>
        <v/>
      </c>
      <c r="K54" s="9">
        <f>'3_TF'!K54*'4_IDF'!$E54</f>
        <v/>
      </c>
      <c r="L54" s="9">
        <f>'3_TF'!L54*'4_IDF'!$E54</f>
        <v/>
      </c>
      <c r="M54" s="9">
        <f>'3_TF'!M54*'4_IDF'!$E54</f>
        <v/>
      </c>
      <c r="O54" s="6">
        <f>A54</f>
        <v/>
      </c>
      <c r="P54" s="9">
        <f>IF(B$227=0,0,B54/B$227)</f>
        <v/>
      </c>
      <c r="Q54" s="9">
        <f>IF(C$227=0,0,C54/C$227)</f>
        <v/>
      </c>
      <c r="R54" s="9">
        <f>IF(D$227=0,0,D54/D$227)</f>
        <v/>
      </c>
      <c r="S54" s="9">
        <f>IF(E$227=0,0,E54/E$227)</f>
        <v/>
      </c>
      <c r="T54" s="9">
        <f>IF(F$227=0,0,F54/F$227)</f>
        <v/>
      </c>
      <c r="U54" s="9">
        <f>IF(G$227=0,0,G54/G$227)</f>
        <v/>
      </c>
      <c r="V54" s="9">
        <f>IF(H$227=0,0,H54/H$227)</f>
        <v/>
      </c>
      <c r="W54" s="9">
        <f>IF(I$227=0,0,I54/I$227)</f>
        <v/>
      </c>
      <c r="X54" s="9">
        <f>IF(J$227=0,0,J54/J$227)</f>
        <v/>
      </c>
      <c r="Y54" s="9">
        <f>IF(K$227=0,0,K54/K$227)</f>
        <v/>
      </c>
      <c r="Z54" s="9">
        <f>IF(L$227=0,0,L54/L$227)</f>
        <v/>
      </c>
      <c r="AA54" s="9">
        <f>IF(M$227=0,0,M54/M$227)</f>
        <v/>
      </c>
      <c r="AB54" s="9">
        <f>AVERAGE(P54,Q54,S54)</f>
        <v/>
      </c>
    </row>
    <row r="55">
      <c r="A55" s="6">
        <f>'3_TF'!A55</f>
        <v/>
      </c>
      <c r="B55" s="9">
        <f>'3_TF'!B55*'4_IDF'!$E55</f>
        <v/>
      </c>
      <c r="C55" s="9">
        <f>'3_TF'!C55*'4_IDF'!$E55</f>
        <v/>
      </c>
      <c r="D55" s="9">
        <f>'3_TF'!D55*'4_IDF'!$E55</f>
        <v/>
      </c>
      <c r="E55" s="9">
        <f>'3_TF'!E55*'4_IDF'!$E55</f>
        <v/>
      </c>
      <c r="F55" s="9">
        <f>'3_TF'!F55*'4_IDF'!$E55</f>
        <v/>
      </c>
      <c r="G55" s="9">
        <f>'3_TF'!G55*'4_IDF'!$E55</f>
        <v/>
      </c>
      <c r="H55" s="9">
        <f>'3_TF'!H55*'4_IDF'!$E55</f>
        <v/>
      </c>
      <c r="I55" s="9">
        <f>'3_TF'!I55*'4_IDF'!$E55</f>
        <v/>
      </c>
      <c r="J55" s="9">
        <f>'3_TF'!J55*'4_IDF'!$E55</f>
        <v/>
      </c>
      <c r="K55" s="9">
        <f>'3_TF'!K55*'4_IDF'!$E55</f>
        <v/>
      </c>
      <c r="L55" s="9">
        <f>'3_TF'!L55*'4_IDF'!$E55</f>
        <v/>
      </c>
      <c r="M55" s="9">
        <f>'3_TF'!M55*'4_IDF'!$E55</f>
        <v/>
      </c>
      <c r="O55" s="6">
        <f>A55</f>
        <v/>
      </c>
      <c r="P55" s="9">
        <f>IF(B$227=0,0,B55/B$227)</f>
        <v/>
      </c>
      <c r="Q55" s="9">
        <f>IF(C$227=0,0,C55/C$227)</f>
        <v/>
      </c>
      <c r="R55" s="9">
        <f>IF(D$227=0,0,D55/D$227)</f>
        <v/>
      </c>
      <c r="S55" s="9">
        <f>IF(E$227=0,0,E55/E$227)</f>
        <v/>
      </c>
      <c r="T55" s="9">
        <f>IF(F$227=0,0,F55/F$227)</f>
        <v/>
      </c>
      <c r="U55" s="9">
        <f>IF(G$227=0,0,G55/G$227)</f>
        <v/>
      </c>
      <c r="V55" s="9">
        <f>IF(H$227=0,0,H55/H$227)</f>
        <v/>
      </c>
      <c r="W55" s="9">
        <f>IF(I$227=0,0,I55/I$227)</f>
        <v/>
      </c>
      <c r="X55" s="9">
        <f>IF(J$227=0,0,J55/J$227)</f>
        <v/>
      </c>
      <c r="Y55" s="9">
        <f>IF(K$227=0,0,K55/K$227)</f>
        <v/>
      </c>
      <c r="Z55" s="9">
        <f>IF(L$227=0,0,L55/L$227)</f>
        <v/>
      </c>
      <c r="AA55" s="9">
        <f>IF(M$227=0,0,M55/M$227)</f>
        <v/>
      </c>
      <c r="AB55" s="9">
        <f>AVERAGE(P55,Q55,S55)</f>
        <v/>
      </c>
    </row>
    <row r="56">
      <c r="A56" s="6">
        <f>'3_TF'!A56</f>
        <v/>
      </c>
      <c r="B56" s="9">
        <f>'3_TF'!B56*'4_IDF'!$E56</f>
        <v/>
      </c>
      <c r="C56" s="9">
        <f>'3_TF'!C56*'4_IDF'!$E56</f>
        <v/>
      </c>
      <c r="D56" s="9">
        <f>'3_TF'!D56*'4_IDF'!$E56</f>
        <v/>
      </c>
      <c r="E56" s="9">
        <f>'3_TF'!E56*'4_IDF'!$E56</f>
        <v/>
      </c>
      <c r="F56" s="9">
        <f>'3_TF'!F56*'4_IDF'!$E56</f>
        <v/>
      </c>
      <c r="G56" s="9">
        <f>'3_TF'!G56*'4_IDF'!$E56</f>
        <v/>
      </c>
      <c r="H56" s="9">
        <f>'3_TF'!H56*'4_IDF'!$E56</f>
        <v/>
      </c>
      <c r="I56" s="9">
        <f>'3_TF'!I56*'4_IDF'!$E56</f>
        <v/>
      </c>
      <c r="J56" s="9">
        <f>'3_TF'!J56*'4_IDF'!$E56</f>
        <v/>
      </c>
      <c r="K56" s="9">
        <f>'3_TF'!K56*'4_IDF'!$E56</f>
        <v/>
      </c>
      <c r="L56" s="9">
        <f>'3_TF'!L56*'4_IDF'!$E56</f>
        <v/>
      </c>
      <c r="M56" s="9">
        <f>'3_TF'!M56*'4_IDF'!$E56</f>
        <v/>
      </c>
      <c r="O56" s="6">
        <f>A56</f>
        <v/>
      </c>
      <c r="P56" s="9">
        <f>IF(B$227=0,0,B56/B$227)</f>
        <v/>
      </c>
      <c r="Q56" s="9">
        <f>IF(C$227=0,0,C56/C$227)</f>
        <v/>
      </c>
      <c r="R56" s="9">
        <f>IF(D$227=0,0,D56/D$227)</f>
        <v/>
      </c>
      <c r="S56" s="9">
        <f>IF(E$227=0,0,E56/E$227)</f>
        <v/>
      </c>
      <c r="T56" s="9">
        <f>IF(F$227=0,0,F56/F$227)</f>
        <v/>
      </c>
      <c r="U56" s="9">
        <f>IF(G$227=0,0,G56/G$227)</f>
        <v/>
      </c>
      <c r="V56" s="9">
        <f>IF(H$227=0,0,H56/H$227)</f>
        <v/>
      </c>
      <c r="W56" s="9">
        <f>IF(I$227=0,0,I56/I$227)</f>
        <v/>
      </c>
      <c r="X56" s="9">
        <f>IF(J$227=0,0,J56/J$227)</f>
        <v/>
      </c>
      <c r="Y56" s="9">
        <f>IF(K$227=0,0,K56/K$227)</f>
        <v/>
      </c>
      <c r="Z56" s="9">
        <f>IF(L$227=0,0,L56/L$227)</f>
        <v/>
      </c>
      <c r="AA56" s="9">
        <f>IF(M$227=0,0,M56/M$227)</f>
        <v/>
      </c>
      <c r="AB56" s="9">
        <f>AVERAGE(P56,Q56,S56)</f>
        <v/>
      </c>
    </row>
    <row r="57">
      <c r="A57" s="6">
        <f>'3_TF'!A57</f>
        <v/>
      </c>
      <c r="B57" s="9">
        <f>'3_TF'!B57*'4_IDF'!$E57</f>
        <v/>
      </c>
      <c r="C57" s="9">
        <f>'3_TF'!C57*'4_IDF'!$E57</f>
        <v/>
      </c>
      <c r="D57" s="9">
        <f>'3_TF'!D57*'4_IDF'!$E57</f>
        <v/>
      </c>
      <c r="E57" s="9">
        <f>'3_TF'!E57*'4_IDF'!$E57</f>
        <v/>
      </c>
      <c r="F57" s="9">
        <f>'3_TF'!F57*'4_IDF'!$E57</f>
        <v/>
      </c>
      <c r="G57" s="9">
        <f>'3_TF'!G57*'4_IDF'!$E57</f>
        <v/>
      </c>
      <c r="H57" s="9">
        <f>'3_TF'!H57*'4_IDF'!$E57</f>
        <v/>
      </c>
      <c r="I57" s="9">
        <f>'3_TF'!I57*'4_IDF'!$E57</f>
        <v/>
      </c>
      <c r="J57" s="9">
        <f>'3_TF'!J57*'4_IDF'!$E57</f>
        <v/>
      </c>
      <c r="K57" s="9">
        <f>'3_TF'!K57*'4_IDF'!$E57</f>
        <v/>
      </c>
      <c r="L57" s="9">
        <f>'3_TF'!L57*'4_IDF'!$E57</f>
        <v/>
      </c>
      <c r="M57" s="9">
        <f>'3_TF'!M57*'4_IDF'!$E57</f>
        <v/>
      </c>
      <c r="O57" s="6">
        <f>A57</f>
        <v/>
      </c>
      <c r="P57" s="9">
        <f>IF(B$227=0,0,B57/B$227)</f>
        <v/>
      </c>
      <c r="Q57" s="9">
        <f>IF(C$227=0,0,C57/C$227)</f>
        <v/>
      </c>
      <c r="R57" s="9">
        <f>IF(D$227=0,0,D57/D$227)</f>
        <v/>
      </c>
      <c r="S57" s="9">
        <f>IF(E$227=0,0,E57/E$227)</f>
        <v/>
      </c>
      <c r="T57" s="9">
        <f>IF(F$227=0,0,F57/F$227)</f>
        <v/>
      </c>
      <c r="U57" s="9">
        <f>IF(G$227=0,0,G57/G$227)</f>
        <v/>
      </c>
      <c r="V57" s="9">
        <f>IF(H$227=0,0,H57/H$227)</f>
        <v/>
      </c>
      <c r="W57" s="9">
        <f>IF(I$227=0,0,I57/I$227)</f>
        <v/>
      </c>
      <c r="X57" s="9">
        <f>IF(J$227=0,0,J57/J$227)</f>
        <v/>
      </c>
      <c r="Y57" s="9">
        <f>IF(K$227=0,0,K57/K$227)</f>
        <v/>
      </c>
      <c r="Z57" s="9">
        <f>IF(L$227=0,0,L57/L$227)</f>
        <v/>
      </c>
      <c r="AA57" s="9">
        <f>IF(M$227=0,0,M57/M$227)</f>
        <v/>
      </c>
      <c r="AB57" s="9">
        <f>AVERAGE(P57,Q57,S57)</f>
        <v/>
      </c>
    </row>
    <row r="58">
      <c r="A58" s="6">
        <f>'3_TF'!A58</f>
        <v/>
      </c>
      <c r="B58" s="9">
        <f>'3_TF'!B58*'4_IDF'!$E58</f>
        <v/>
      </c>
      <c r="C58" s="9">
        <f>'3_TF'!C58*'4_IDF'!$E58</f>
        <v/>
      </c>
      <c r="D58" s="9">
        <f>'3_TF'!D58*'4_IDF'!$E58</f>
        <v/>
      </c>
      <c r="E58" s="9">
        <f>'3_TF'!E58*'4_IDF'!$E58</f>
        <v/>
      </c>
      <c r="F58" s="9">
        <f>'3_TF'!F58*'4_IDF'!$E58</f>
        <v/>
      </c>
      <c r="G58" s="9">
        <f>'3_TF'!G58*'4_IDF'!$E58</f>
        <v/>
      </c>
      <c r="H58" s="9">
        <f>'3_TF'!H58*'4_IDF'!$E58</f>
        <v/>
      </c>
      <c r="I58" s="9">
        <f>'3_TF'!I58*'4_IDF'!$E58</f>
        <v/>
      </c>
      <c r="J58" s="9">
        <f>'3_TF'!J58*'4_IDF'!$E58</f>
        <v/>
      </c>
      <c r="K58" s="9">
        <f>'3_TF'!K58*'4_IDF'!$E58</f>
        <v/>
      </c>
      <c r="L58" s="9">
        <f>'3_TF'!L58*'4_IDF'!$E58</f>
        <v/>
      </c>
      <c r="M58" s="9">
        <f>'3_TF'!M58*'4_IDF'!$E58</f>
        <v/>
      </c>
      <c r="O58" s="6">
        <f>A58</f>
        <v/>
      </c>
      <c r="P58" s="9">
        <f>IF(B$227=0,0,B58/B$227)</f>
        <v/>
      </c>
      <c r="Q58" s="9">
        <f>IF(C$227=0,0,C58/C$227)</f>
        <v/>
      </c>
      <c r="R58" s="9">
        <f>IF(D$227=0,0,D58/D$227)</f>
        <v/>
      </c>
      <c r="S58" s="9">
        <f>IF(E$227=0,0,E58/E$227)</f>
        <v/>
      </c>
      <c r="T58" s="9">
        <f>IF(F$227=0,0,F58/F$227)</f>
        <v/>
      </c>
      <c r="U58" s="9">
        <f>IF(G$227=0,0,G58/G$227)</f>
        <v/>
      </c>
      <c r="V58" s="9">
        <f>IF(H$227=0,0,H58/H$227)</f>
        <v/>
      </c>
      <c r="W58" s="9">
        <f>IF(I$227=0,0,I58/I$227)</f>
        <v/>
      </c>
      <c r="X58" s="9">
        <f>IF(J$227=0,0,J58/J$227)</f>
        <v/>
      </c>
      <c r="Y58" s="9">
        <f>IF(K$227=0,0,K58/K$227)</f>
        <v/>
      </c>
      <c r="Z58" s="9">
        <f>IF(L$227=0,0,L58/L$227)</f>
        <v/>
      </c>
      <c r="AA58" s="9">
        <f>IF(M$227=0,0,M58/M$227)</f>
        <v/>
      </c>
      <c r="AB58" s="9">
        <f>AVERAGE(P58,Q58,S58)</f>
        <v/>
      </c>
    </row>
    <row r="59">
      <c r="A59" s="6">
        <f>'3_TF'!A59</f>
        <v/>
      </c>
      <c r="B59" s="9">
        <f>'3_TF'!B59*'4_IDF'!$E59</f>
        <v/>
      </c>
      <c r="C59" s="9">
        <f>'3_TF'!C59*'4_IDF'!$E59</f>
        <v/>
      </c>
      <c r="D59" s="9">
        <f>'3_TF'!D59*'4_IDF'!$E59</f>
        <v/>
      </c>
      <c r="E59" s="9">
        <f>'3_TF'!E59*'4_IDF'!$E59</f>
        <v/>
      </c>
      <c r="F59" s="9">
        <f>'3_TF'!F59*'4_IDF'!$E59</f>
        <v/>
      </c>
      <c r="G59" s="9">
        <f>'3_TF'!G59*'4_IDF'!$E59</f>
        <v/>
      </c>
      <c r="H59" s="9">
        <f>'3_TF'!H59*'4_IDF'!$E59</f>
        <v/>
      </c>
      <c r="I59" s="9">
        <f>'3_TF'!I59*'4_IDF'!$E59</f>
        <v/>
      </c>
      <c r="J59" s="9">
        <f>'3_TF'!J59*'4_IDF'!$E59</f>
        <v/>
      </c>
      <c r="K59" s="9">
        <f>'3_TF'!K59*'4_IDF'!$E59</f>
        <v/>
      </c>
      <c r="L59" s="9">
        <f>'3_TF'!L59*'4_IDF'!$E59</f>
        <v/>
      </c>
      <c r="M59" s="9">
        <f>'3_TF'!M59*'4_IDF'!$E59</f>
        <v/>
      </c>
      <c r="O59" s="6">
        <f>A59</f>
        <v/>
      </c>
      <c r="P59" s="9">
        <f>IF(B$227=0,0,B59/B$227)</f>
        <v/>
      </c>
      <c r="Q59" s="9">
        <f>IF(C$227=0,0,C59/C$227)</f>
        <v/>
      </c>
      <c r="R59" s="9">
        <f>IF(D$227=0,0,D59/D$227)</f>
        <v/>
      </c>
      <c r="S59" s="9">
        <f>IF(E$227=0,0,E59/E$227)</f>
        <v/>
      </c>
      <c r="T59" s="9">
        <f>IF(F$227=0,0,F59/F$227)</f>
        <v/>
      </c>
      <c r="U59" s="9">
        <f>IF(G$227=0,0,G59/G$227)</f>
        <v/>
      </c>
      <c r="V59" s="9">
        <f>IF(H$227=0,0,H59/H$227)</f>
        <v/>
      </c>
      <c r="W59" s="9">
        <f>IF(I$227=0,0,I59/I$227)</f>
        <v/>
      </c>
      <c r="X59" s="9">
        <f>IF(J$227=0,0,J59/J$227)</f>
        <v/>
      </c>
      <c r="Y59" s="9">
        <f>IF(K$227=0,0,K59/K$227)</f>
        <v/>
      </c>
      <c r="Z59" s="9">
        <f>IF(L$227=0,0,L59/L$227)</f>
        <v/>
      </c>
      <c r="AA59" s="9">
        <f>IF(M$227=0,0,M59/M$227)</f>
        <v/>
      </c>
      <c r="AB59" s="9">
        <f>AVERAGE(P59,Q59,S59)</f>
        <v/>
      </c>
    </row>
    <row r="60">
      <c r="A60" s="6">
        <f>'3_TF'!A60</f>
        <v/>
      </c>
      <c r="B60" s="9">
        <f>'3_TF'!B60*'4_IDF'!$E60</f>
        <v/>
      </c>
      <c r="C60" s="9">
        <f>'3_TF'!C60*'4_IDF'!$E60</f>
        <v/>
      </c>
      <c r="D60" s="9">
        <f>'3_TF'!D60*'4_IDF'!$E60</f>
        <v/>
      </c>
      <c r="E60" s="9">
        <f>'3_TF'!E60*'4_IDF'!$E60</f>
        <v/>
      </c>
      <c r="F60" s="9">
        <f>'3_TF'!F60*'4_IDF'!$E60</f>
        <v/>
      </c>
      <c r="G60" s="9">
        <f>'3_TF'!G60*'4_IDF'!$E60</f>
        <v/>
      </c>
      <c r="H60" s="9">
        <f>'3_TF'!H60*'4_IDF'!$E60</f>
        <v/>
      </c>
      <c r="I60" s="9">
        <f>'3_TF'!I60*'4_IDF'!$E60</f>
        <v/>
      </c>
      <c r="J60" s="9">
        <f>'3_TF'!J60*'4_IDF'!$E60</f>
        <v/>
      </c>
      <c r="K60" s="9">
        <f>'3_TF'!K60*'4_IDF'!$E60</f>
        <v/>
      </c>
      <c r="L60" s="9">
        <f>'3_TF'!L60*'4_IDF'!$E60</f>
        <v/>
      </c>
      <c r="M60" s="9">
        <f>'3_TF'!M60*'4_IDF'!$E60</f>
        <v/>
      </c>
      <c r="O60" s="6">
        <f>A60</f>
        <v/>
      </c>
      <c r="P60" s="9">
        <f>IF(B$227=0,0,B60/B$227)</f>
        <v/>
      </c>
      <c r="Q60" s="9">
        <f>IF(C$227=0,0,C60/C$227)</f>
        <v/>
      </c>
      <c r="R60" s="9">
        <f>IF(D$227=0,0,D60/D$227)</f>
        <v/>
      </c>
      <c r="S60" s="9">
        <f>IF(E$227=0,0,E60/E$227)</f>
        <v/>
      </c>
      <c r="T60" s="9">
        <f>IF(F$227=0,0,F60/F$227)</f>
        <v/>
      </c>
      <c r="U60" s="9">
        <f>IF(G$227=0,0,G60/G$227)</f>
        <v/>
      </c>
      <c r="V60" s="9">
        <f>IF(H$227=0,0,H60/H$227)</f>
        <v/>
      </c>
      <c r="W60" s="9">
        <f>IF(I$227=0,0,I60/I$227)</f>
        <v/>
      </c>
      <c r="X60" s="9">
        <f>IF(J$227=0,0,J60/J$227)</f>
        <v/>
      </c>
      <c r="Y60" s="9">
        <f>IF(K$227=0,0,K60/K$227)</f>
        <v/>
      </c>
      <c r="Z60" s="9">
        <f>IF(L$227=0,0,L60/L$227)</f>
        <v/>
      </c>
      <c r="AA60" s="9">
        <f>IF(M$227=0,0,M60/M$227)</f>
        <v/>
      </c>
      <c r="AB60" s="9">
        <f>AVERAGE(P60,Q60,S60)</f>
        <v/>
      </c>
    </row>
    <row r="61">
      <c r="A61" s="6">
        <f>'3_TF'!A61</f>
        <v/>
      </c>
      <c r="B61" s="9">
        <f>'3_TF'!B61*'4_IDF'!$E61</f>
        <v/>
      </c>
      <c r="C61" s="9">
        <f>'3_TF'!C61*'4_IDF'!$E61</f>
        <v/>
      </c>
      <c r="D61" s="9">
        <f>'3_TF'!D61*'4_IDF'!$E61</f>
        <v/>
      </c>
      <c r="E61" s="9">
        <f>'3_TF'!E61*'4_IDF'!$E61</f>
        <v/>
      </c>
      <c r="F61" s="9">
        <f>'3_TF'!F61*'4_IDF'!$E61</f>
        <v/>
      </c>
      <c r="G61" s="9">
        <f>'3_TF'!G61*'4_IDF'!$E61</f>
        <v/>
      </c>
      <c r="H61" s="9">
        <f>'3_TF'!H61*'4_IDF'!$E61</f>
        <v/>
      </c>
      <c r="I61" s="9">
        <f>'3_TF'!I61*'4_IDF'!$E61</f>
        <v/>
      </c>
      <c r="J61" s="9">
        <f>'3_TF'!J61*'4_IDF'!$E61</f>
        <v/>
      </c>
      <c r="K61" s="9">
        <f>'3_TF'!K61*'4_IDF'!$E61</f>
        <v/>
      </c>
      <c r="L61" s="9">
        <f>'3_TF'!L61*'4_IDF'!$E61</f>
        <v/>
      </c>
      <c r="M61" s="9">
        <f>'3_TF'!M61*'4_IDF'!$E61</f>
        <v/>
      </c>
      <c r="O61" s="6">
        <f>A61</f>
        <v/>
      </c>
      <c r="P61" s="9">
        <f>IF(B$227=0,0,B61/B$227)</f>
        <v/>
      </c>
      <c r="Q61" s="9">
        <f>IF(C$227=0,0,C61/C$227)</f>
        <v/>
      </c>
      <c r="R61" s="9">
        <f>IF(D$227=0,0,D61/D$227)</f>
        <v/>
      </c>
      <c r="S61" s="9">
        <f>IF(E$227=0,0,E61/E$227)</f>
        <v/>
      </c>
      <c r="T61" s="9">
        <f>IF(F$227=0,0,F61/F$227)</f>
        <v/>
      </c>
      <c r="U61" s="9">
        <f>IF(G$227=0,0,G61/G$227)</f>
        <v/>
      </c>
      <c r="V61" s="9">
        <f>IF(H$227=0,0,H61/H$227)</f>
        <v/>
      </c>
      <c r="W61" s="9">
        <f>IF(I$227=0,0,I61/I$227)</f>
        <v/>
      </c>
      <c r="X61" s="9">
        <f>IF(J$227=0,0,J61/J$227)</f>
        <v/>
      </c>
      <c r="Y61" s="9">
        <f>IF(K$227=0,0,K61/K$227)</f>
        <v/>
      </c>
      <c r="Z61" s="9">
        <f>IF(L$227=0,0,L61/L$227)</f>
        <v/>
      </c>
      <c r="AA61" s="9">
        <f>IF(M$227=0,0,M61/M$227)</f>
        <v/>
      </c>
      <c r="AB61" s="9">
        <f>AVERAGE(P61,Q61,S61)</f>
        <v/>
      </c>
    </row>
    <row r="62">
      <c r="A62" s="6">
        <f>'3_TF'!A62</f>
        <v/>
      </c>
      <c r="B62" s="9">
        <f>'3_TF'!B62*'4_IDF'!$E62</f>
        <v/>
      </c>
      <c r="C62" s="9">
        <f>'3_TF'!C62*'4_IDF'!$E62</f>
        <v/>
      </c>
      <c r="D62" s="9">
        <f>'3_TF'!D62*'4_IDF'!$E62</f>
        <v/>
      </c>
      <c r="E62" s="9">
        <f>'3_TF'!E62*'4_IDF'!$E62</f>
        <v/>
      </c>
      <c r="F62" s="9">
        <f>'3_TF'!F62*'4_IDF'!$E62</f>
        <v/>
      </c>
      <c r="G62" s="9">
        <f>'3_TF'!G62*'4_IDF'!$E62</f>
        <v/>
      </c>
      <c r="H62" s="9">
        <f>'3_TF'!H62*'4_IDF'!$E62</f>
        <v/>
      </c>
      <c r="I62" s="9">
        <f>'3_TF'!I62*'4_IDF'!$E62</f>
        <v/>
      </c>
      <c r="J62" s="9">
        <f>'3_TF'!J62*'4_IDF'!$E62</f>
        <v/>
      </c>
      <c r="K62" s="9">
        <f>'3_TF'!K62*'4_IDF'!$E62</f>
        <v/>
      </c>
      <c r="L62" s="9">
        <f>'3_TF'!L62*'4_IDF'!$E62</f>
        <v/>
      </c>
      <c r="M62" s="9">
        <f>'3_TF'!M62*'4_IDF'!$E62</f>
        <v/>
      </c>
      <c r="O62" s="6">
        <f>A62</f>
        <v/>
      </c>
      <c r="P62" s="9">
        <f>IF(B$227=0,0,B62/B$227)</f>
        <v/>
      </c>
      <c r="Q62" s="9">
        <f>IF(C$227=0,0,C62/C$227)</f>
        <v/>
      </c>
      <c r="R62" s="9">
        <f>IF(D$227=0,0,D62/D$227)</f>
        <v/>
      </c>
      <c r="S62" s="9">
        <f>IF(E$227=0,0,E62/E$227)</f>
        <v/>
      </c>
      <c r="T62" s="9">
        <f>IF(F$227=0,0,F62/F$227)</f>
        <v/>
      </c>
      <c r="U62" s="9">
        <f>IF(G$227=0,0,G62/G$227)</f>
        <v/>
      </c>
      <c r="V62" s="9">
        <f>IF(H$227=0,0,H62/H$227)</f>
        <v/>
      </c>
      <c r="W62" s="9">
        <f>IF(I$227=0,0,I62/I$227)</f>
        <v/>
      </c>
      <c r="X62" s="9">
        <f>IF(J$227=0,0,J62/J$227)</f>
        <v/>
      </c>
      <c r="Y62" s="9">
        <f>IF(K$227=0,0,K62/K$227)</f>
        <v/>
      </c>
      <c r="Z62" s="9">
        <f>IF(L$227=0,0,L62/L$227)</f>
        <v/>
      </c>
      <c r="AA62" s="9">
        <f>IF(M$227=0,0,M62/M$227)</f>
        <v/>
      </c>
      <c r="AB62" s="9">
        <f>AVERAGE(P62,Q62,S62)</f>
        <v/>
      </c>
    </row>
    <row r="63">
      <c r="A63" s="6">
        <f>'3_TF'!A63</f>
        <v/>
      </c>
      <c r="B63" s="9">
        <f>'3_TF'!B63*'4_IDF'!$E63</f>
        <v/>
      </c>
      <c r="C63" s="9">
        <f>'3_TF'!C63*'4_IDF'!$E63</f>
        <v/>
      </c>
      <c r="D63" s="9">
        <f>'3_TF'!D63*'4_IDF'!$E63</f>
        <v/>
      </c>
      <c r="E63" s="9">
        <f>'3_TF'!E63*'4_IDF'!$E63</f>
        <v/>
      </c>
      <c r="F63" s="9">
        <f>'3_TF'!F63*'4_IDF'!$E63</f>
        <v/>
      </c>
      <c r="G63" s="9">
        <f>'3_TF'!G63*'4_IDF'!$E63</f>
        <v/>
      </c>
      <c r="H63" s="9">
        <f>'3_TF'!H63*'4_IDF'!$E63</f>
        <v/>
      </c>
      <c r="I63" s="9">
        <f>'3_TF'!I63*'4_IDF'!$E63</f>
        <v/>
      </c>
      <c r="J63" s="9">
        <f>'3_TF'!J63*'4_IDF'!$E63</f>
        <v/>
      </c>
      <c r="K63" s="9">
        <f>'3_TF'!K63*'4_IDF'!$E63</f>
        <v/>
      </c>
      <c r="L63" s="9">
        <f>'3_TF'!L63*'4_IDF'!$E63</f>
        <v/>
      </c>
      <c r="M63" s="9">
        <f>'3_TF'!M63*'4_IDF'!$E63</f>
        <v/>
      </c>
      <c r="O63" s="6">
        <f>A63</f>
        <v/>
      </c>
      <c r="P63" s="9">
        <f>IF(B$227=0,0,B63/B$227)</f>
        <v/>
      </c>
      <c r="Q63" s="9">
        <f>IF(C$227=0,0,C63/C$227)</f>
        <v/>
      </c>
      <c r="R63" s="9">
        <f>IF(D$227=0,0,D63/D$227)</f>
        <v/>
      </c>
      <c r="S63" s="9">
        <f>IF(E$227=0,0,E63/E$227)</f>
        <v/>
      </c>
      <c r="T63" s="9">
        <f>IF(F$227=0,0,F63/F$227)</f>
        <v/>
      </c>
      <c r="U63" s="9">
        <f>IF(G$227=0,0,G63/G$227)</f>
        <v/>
      </c>
      <c r="V63" s="9">
        <f>IF(H$227=0,0,H63/H$227)</f>
        <v/>
      </c>
      <c r="W63" s="9">
        <f>IF(I$227=0,0,I63/I$227)</f>
        <v/>
      </c>
      <c r="X63" s="9">
        <f>IF(J$227=0,0,J63/J$227)</f>
        <v/>
      </c>
      <c r="Y63" s="9">
        <f>IF(K$227=0,0,K63/K$227)</f>
        <v/>
      </c>
      <c r="Z63" s="9">
        <f>IF(L$227=0,0,L63/L$227)</f>
        <v/>
      </c>
      <c r="AA63" s="9">
        <f>IF(M$227=0,0,M63/M$227)</f>
        <v/>
      </c>
      <c r="AB63" s="9">
        <f>AVERAGE(P63,Q63,S63)</f>
        <v/>
      </c>
    </row>
    <row r="64">
      <c r="A64" s="6">
        <f>'3_TF'!A64</f>
        <v/>
      </c>
      <c r="B64" s="9">
        <f>'3_TF'!B64*'4_IDF'!$E64</f>
        <v/>
      </c>
      <c r="C64" s="9">
        <f>'3_TF'!C64*'4_IDF'!$E64</f>
        <v/>
      </c>
      <c r="D64" s="9">
        <f>'3_TF'!D64*'4_IDF'!$E64</f>
        <v/>
      </c>
      <c r="E64" s="9">
        <f>'3_TF'!E64*'4_IDF'!$E64</f>
        <v/>
      </c>
      <c r="F64" s="9">
        <f>'3_TF'!F64*'4_IDF'!$E64</f>
        <v/>
      </c>
      <c r="G64" s="9">
        <f>'3_TF'!G64*'4_IDF'!$E64</f>
        <v/>
      </c>
      <c r="H64" s="9">
        <f>'3_TF'!H64*'4_IDF'!$E64</f>
        <v/>
      </c>
      <c r="I64" s="9">
        <f>'3_TF'!I64*'4_IDF'!$E64</f>
        <v/>
      </c>
      <c r="J64" s="9">
        <f>'3_TF'!J64*'4_IDF'!$E64</f>
        <v/>
      </c>
      <c r="K64" s="9">
        <f>'3_TF'!K64*'4_IDF'!$E64</f>
        <v/>
      </c>
      <c r="L64" s="9">
        <f>'3_TF'!L64*'4_IDF'!$E64</f>
        <v/>
      </c>
      <c r="M64" s="9">
        <f>'3_TF'!M64*'4_IDF'!$E64</f>
        <v/>
      </c>
      <c r="O64" s="6">
        <f>A64</f>
        <v/>
      </c>
      <c r="P64" s="9">
        <f>IF(B$227=0,0,B64/B$227)</f>
        <v/>
      </c>
      <c r="Q64" s="9">
        <f>IF(C$227=0,0,C64/C$227)</f>
        <v/>
      </c>
      <c r="R64" s="9">
        <f>IF(D$227=0,0,D64/D$227)</f>
        <v/>
      </c>
      <c r="S64" s="9">
        <f>IF(E$227=0,0,E64/E$227)</f>
        <v/>
      </c>
      <c r="T64" s="9">
        <f>IF(F$227=0,0,F64/F$227)</f>
        <v/>
      </c>
      <c r="U64" s="9">
        <f>IF(G$227=0,0,G64/G$227)</f>
        <v/>
      </c>
      <c r="V64" s="9">
        <f>IF(H$227=0,0,H64/H$227)</f>
        <v/>
      </c>
      <c r="W64" s="9">
        <f>IF(I$227=0,0,I64/I$227)</f>
        <v/>
      </c>
      <c r="X64" s="9">
        <f>IF(J$227=0,0,J64/J$227)</f>
        <v/>
      </c>
      <c r="Y64" s="9">
        <f>IF(K$227=0,0,K64/K$227)</f>
        <v/>
      </c>
      <c r="Z64" s="9">
        <f>IF(L$227=0,0,L64/L$227)</f>
        <v/>
      </c>
      <c r="AA64" s="9">
        <f>IF(M$227=0,0,M64/M$227)</f>
        <v/>
      </c>
      <c r="AB64" s="9">
        <f>AVERAGE(P64,Q64,S64)</f>
        <v/>
      </c>
    </row>
    <row r="65">
      <c r="A65" s="6">
        <f>'3_TF'!A65</f>
        <v/>
      </c>
      <c r="B65" s="9">
        <f>'3_TF'!B65*'4_IDF'!$E65</f>
        <v/>
      </c>
      <c r="C65" s="9">
        <f>'3_TF'!C65*'4_IDF'!$E65</f>
        <v/>
      </c>
      <c r="D65" s="9">
        <f>'3_TF'!D65*'4_IDF'!$E65</f>
        <v/>
      </c>
      <c r="E65" s="9">
        <f>'3_TF'!E65*'4_IDF'!$E65</f>
        <v/>
      </c>
      <c r="F65" s="9">
        <f>'3_TF'!F65*'4_IDF'!$E65</f>
        <v/>
      </c>
      <c r="G65" s="9">
        <f>'3_TF'!G65*'4_IDF'!$E65</f>
        <v/>
      </c>
      <c r="H65" s="9">
        <f>'3_TF'!H65*'4_IDF'!$E65</f>
        <v/>
      </c>
      <c r="I65" s="9">
        <f>'3_TF'!I65*'4_IDF'!$E65</f>
        <v/>
      </c>
      <c r="J65" s="9">
        <f>'3_TF'!J65*'4_IDF'!$E65</f>
        <v/>
      </c>
      <c r="K65" s="9">
        <f>'3_TF'!K65*'4_IDF'!$E65</f>
        <v/>
      </c>
      <c r="L65" s="9">
        <f>'3_TF'!L65*'4_IDF'!$E65</f>
        <v/>
      </c>
      <c r="M65" s="9">
        <f>'3_TF'!M65*'4_IDF'!$E65</f>
        <v/>
      </c>
      <c r="O65" s="6">
        <f>A65</f>
        <v/>
      </c>
      <c r="P65" s="9">
        <f>IF(B$227=0,0,B65/B$227)</f>
        <v/>
      </c>
      <c r="Q65" s="9">
        <f>IF(C$227=0,0,C65/C$227)</f>
        <v/>
      </c>
      <c r="R65" s="9">
        <f>IF(D$227=0,0,D65/D$227)</f>
        <v/>
      </c>
      <c r="S65" s="9">
        <f>IF(E$227=0,0,E65/E$227)</f>
        <v/>
      </c>
      <c r="T65" s="9">
        <f>IF(F$227=0,0,F65/F$227)</f>
        <v/>
      </c>
      <c r="U65" s="9">
        <f>IF(G$227=0,0,G65/G$227)</f>
        <v/>
      </c>
      <c r="V65" s="9">
        <f>IF(H$227=0,0,H65/H$227)</f>
        <v/>
      </c>
      <c r="W65" s="9">
        <f>IF(I$227=0,0,I65/I$227)</f>
        <v/>
      </c>
      <c r="X65" s="9">
        <f>IF(J$227=0,0,J65/J$227)</f>
        <v/>
      </c>
      <c r="Y65" s="9">
        <f>IF(K$227=0,0,K65/K$227)</f>
        <v/>
      </c>
      <c r="Z65" s="9">
        <f>IF(L$227=0,0,L65/L$227)</f>
        <v/>
      </c>
      <c r="AA65" s="9">
        <f>IF(M$227=0,0,M65/M$227)</f>
        <v/>
      </c>
      <c r="AB65" s="9">
        <f>AVERAGE(P65,Q65,S65)</f>
        <v/>
      </c>
    </row>
    <row r="66">
      <c r="A66" s="6">
        <f>'3_TF'!A66</f>
        <v/>
      </c>
      <c r="B66" s="9">
        <f>'3_TF'!B66*'4_IDF'!$E66</f>
        <v/>
      </c>
      <c r="C66" s="9">
        <f>'3_TF'!C66*'4_IDF'!$E66</f>
        <v/>
      </c>
      <c r="D66" s="9">
        <f>'3_TF'!D66*'4_IDF'!$E66</f>
        <v/>
      </c>
      <c r="E66" s="9">
        <f>'3_TF'!E66*'4_IDF'!$E66</f>
        <v/>
      </c>
      <c r="F66" s="9">
        <f>'3_TF'!F66*'4_IDF'!$E66</f>
        <v/>
      </c>
      <c r="G66" s="9">
        <f>'3_TF'!G66*'4_IDF'!$E66</f>
        <v/>
      </c>
      <c r="H66" s="9">
        <f>'3_TF'!H66*'4_IDF'!$E66</f>
        <v/>
      </c>
      <c r="I66" s="9">
        <f>'3_TF'!I66*'4_IDF'!$E66</f>
        <v/>
      </c>
      <c r="J66" s="9">
        <f>'3_TF'!J66*'4_IDF'!$E66</f>
        <v/>
      </c>
      <c r="K66" s="9">
        <f>'3_TF'!K66*'4_IDF'!$E66</f>
        <v/>
      </c>
      <c r="L66" s="9">
        <f>'3_TF'!L66*'4_IDF'!$E66</f>
        <v/>
      </c>
      <c r="M66" s="9">
        <f>'3_TF'!M66*'4_IDF'!$E66</f>
        <v/>
      </c>
      <c r="O66" s="6">
        <f>A66</f>
        <v/>
      </c>
      <c r="P66" s="9">
        <f>IF(B$227=0,0,B66/B$227)</f>
        <v/>
      </c>
      <c r="Q66" s="9">
        <f>IF(C$227=0,0,C66/C$227)</f>
        <v/>
      </c>
      <c r="R66" s="9">
        <f>IF(D$227=0,0,D66/D$227)</f>
        <v/>
      </c>
      <c r="S66" s="9">
        <f>IF(E$227=0,0,E66/E$227)</f>
        <v/>
      </c>
      <c r="T66" s="9">
        <f>IF(F$227=0,0,F66/F$227)</f>
        <v/>
      </c>
      <c r="U66" s="9">
        <f>IF(G$227=0,0,G66/G$227)</f>
        <v/>
      </c>
      <c r="V66" s="9">
        <f>IF(H$227=0,0,H66/H$227)</f>
        <v/>
      </c>
      <c r="W66" s="9">
        <f>IF(I$227=0,0,I66/I$227)</f>
        <v/>
      </c>
      <c r="X66" s="9">
        <f>IF(J$227=0,0,J66/J$227)</f>
        <v/>
      </c>
      <c r="Y66" s="9">
        <f>IF(K$227=0,0,K66/K$227)</f>
        <v/>
      </c>
      <c r="Z66" s="9">
        <f>IF(L$227=0,0,L66/L$227)</f>
        <v/>
      </c>
      <c r="AA66" s="9">
        <f>IF(M$227=0,0,M66/M$227)</f>
        <v/>
      </c>
      <c r="AB66" s="9">
        <f>AVERAGE(P66,Q66,S66)</f>
        <v/>
      </c>
    </row>
    <row r="67">
      <c r="A67" s="6">
        <f>'3_TF'!A67</f>
        <v/>
      </c>
      <c r="B67" s="9">
        <f>'3_TF'!B67*'4_IDF'!$E67</f>
        <v/>
      </c>
      <c r="C67" s="9">
        <f>'3_TF'!C67*'4_IDF'!$E67</f>
        <v/>
      </c>
      <c r="D67" s="9">
        <f>'3_TF'!D67*'4_IDF'!$E67</f>
        <v/>
      </c>
      <c r="E67" s="9">
        <f>'3_TF'!E67*'4_IDF'!$E67</f>
        <v/>
      </c>
      <c r="F67" s="9">
        <f>'3_TF'!F67*'4_IDF'!$E67</f>
        <v/>
      </c>
      <c r="G67" s="9">
        <f>'3_TF'!G67*'4_IDF'!$E67</f>
        <v/>
      </c>
      <c r="H67" s="9">
        <f>'3_TF'!H67*'4_IDF'!$E67</f>
        <v/>
      </c>
      <c r="I67" s="9">
        <f>'3_TF'!I67*'4_IDF'!$E67</f>
        <v/>
      </c>
      <c r="J67" s="9">
        <f>'3_TF'!J67*'4_IDF'!$E67</f>
        <v/>
      </c>
      <c r="K67" s="9">
        <f>'3_TF'!K67*'4_IDF'!$E67</f>
        <v/>
      </c>
      <c r="L67" s="9">
        <f>'3_TF'!L67*'4_IDF'!$E67</f>
        <v/>
      </c>
      <c r="M67" s="9">
        <f>'3_TF'!M67*'4_IDF'!$E67</f>
        <v/>
      </c>
      <c r="O67" s="6">
        <f>A67</f>
        <v/>
      </c>
      <c r="P67" s="9">
        <f>IF(B$227=0,0,B67/B$227)</f>
        <v/>
      </c>
      <c r="Q67" s="9">
        <f>IF(C$227=0,0,C67/C$227)</f>
        <v/>
      </c>
      <c r="R67" s="9">
        <f>IF(D$227=0,0,D67/D$227)</f>
        <v/>
      </c>
      <c r="S67" s="9">
        <f>IF(E$227=0,0,E67/E$227)</f>
        <v/>
      </c>
      <c r="T67" s="9">
        <f>IF(F$227=0,0,F67/F$227)</f>
        <v/>
      </c>
      <c r="U67" s="9">
        <f>IF(G$227=0,0,G67/G$227)</f>
        <v/>
      </c>
      <c r="V67" s="9">
        <f>IF(H$227=0,0,H67/H$227)</f>
        <v/>
      </c>
      <c r="W67" s="9">
        <f>IF(I$227=0,0,I67/I$227)</f>
        <v/>
      </c>
      <c r="X67" s="9">
        <f>IF(J$227=0,0,J67/J$227)</f>
        <v/>
      </c>
      <c r="Y67" s="9">
        <f>IF(K$227=0,0,K67/K$227)</f>
        <v/>
      </c>
      <c r="Z67" s="9">
        <f>IF(L$227=0,0,L67/L$227)</f>
        <v/>
      </c>
      <c r="AA67" s="9">
        <f>IF(M$227=0,0,M67/M$227)</f>
        <v/>
      </c>
      <c r="AB67" s="9">
        <f>AVERAGE(P67,Q67,S67)</f>
        <v/>
      </c>
    </row>
    <row r="68">
      <c r="A68" s="6">
        <f>'3_TF'!A68</f>
        <v/>
      </c>
      <c r="B68" s="9">
        <f>'3_TF'!B68*'4_IDF'!$E68</f>
        <v/>
      </c>
      <c r="C68" s="9">
        <f>'3_TF'!C68*'4_IDF'!$E68</f>
        <v/>
      </c>
      <c r="D68" s="9">
        <f>'3_TF'!D68*'4_IDF'!$E68</f>
        <v/>
      </c>
      <c r="E68" s="9">
        <f>'3_TF'!E68*'4_IDF'!$E68</f>
        <v/>
      </c>
      <c r="F68" s="9">
        <f>'3_TF'!F68*'4_IDF'!$E68</f>
        <v/>
      </c>
      <c r="G68" s="9">
        <f>'3_TF'!G68*'4_IDF'!$E68</f>
        <v/>
      </c>
      <c r="H68" s="9">
        <f>'3_TF'!H68*'4_IDF'!$E68</f>
        <v/>
      </c>
      <c r="I68" s="9">
        <f>'3_TF'!I68*'4_IDF'!$E68</f>
        <v/>
      </c>
      <c r="J68" s="9">
        <f>'3_TF'!J68*'4_IDF'!$E68</f>
        <v/>
      </c>
      <c r="K68" s="9">
        <f>'3_TF'!K68*'4_IDF'!$E68</f>
        <v/>
      </c>
      <c r="L68" s="9">
        <f>'3_TF'!L68*'4_IDF'!$E68</f>
        <v/>
      </c>
      <c r="M68" s="9">
        <f>'3_TF'!M68*'4_IDF'!$E68</f>
        <v/>
      </c>
      <c r="O68" s="6">
        <f>A68</f>
        <v/>
      </c>
      <c r="P68" s="9">
        <f>IF(B$227=0,0,B68/B$227)</f>
        <v/>
      </c>
      <c r="Q68" s="9">
        <f>IF(C$227=0,0,C68/C$227)</f>
        <v/>
      </c>
      <c r="R68" s="9">
        <f>IF(D$227=0,0,D68/D$227)</f>
        <v/>
      </c>
      <c r="S68" s="9">
        <f>IF(E$227=0,0,E68/E$227)</f>
        <v/>
      </c>
      <c r="T68" s="9">
        <f>IF(F$227=0,0,F68/F$227)</f>
        <v/>
      </c>
      <c r="U68" s="9">
        <f>IF(G$227=0,0,G68/G$227)</f>
        <v/>
      </c>
      <c r="V68" s="9">
        <f>IF(H$227=0,0,H68/H$227)</f>
        <v/>
      </c>
      <c r="W68" s="9">
        <f>IF(I$227=0,0,I68/I$227)</f>
        <v/>
      </c>
      <c r="X68" s="9">
        <f>IF(J$227=0,0,J68/J$227)</f>
        <v/>
      </c>
      <c r="Y68" s="9">
        <f>IF(K$227=0,0,K68/K$227)</f>
        <v/>
      </c>
      <c r="Z68" s="9">
        <f>IF(L$227=0,0,L68/L$227)</f>
        <v/>
      </c>
      <c r="AA68" s="9">
        <f>IF(M$227=0,0,M68/M$227)</f>
        <v/>
      </c>
      <c r="AB68" s="9">
        <f>AVERAGE(P68,Q68,S68)</f>
        <v/>
      </c>
    </row>
    <row r="69">
      <c r="A69" s="6">
        <f>'3_TF'!A69</f>
        <v/>
      </c>
      <c r="B69" s="9">
        <f>'3_TF'!B69*'4_IDF'!$E69</f>
        <v/>
      </c>
      <c r="C69" s="9">
        <f>'3_TF'!C69*'4_IDF'!$E69</f>
        <v/>
      </c>
      <c r="D69" s="9">
        <f>'3_TF'!D69*'4_IDF'!$E69</f>
        <v/>
      </c>
      <c r="E69" s="9">
        <f>'3_TF'!E69*'4_IDF'!$E69</f>
        <v/>
      </c>
      <c r="F69" s="9">
        <f>'3_TF'!F69*'4_IDF'!$E69</f>
        <v/>
      </c>
      <c r="G69" s="9">
        <f>'3_TF'!G69*'4_IDF'!$E69</f>
        <v/>
      </c>
      <c r="H69" s="9">
        <f>'3_TF'!H69*'4_IDF'!$E69</f>
        <v/>
      </c>
      <c r="I69" s="9">
        <f>'3_TF'!I69*'4_IDF'!$E69</f>
        <v/>
      </c>
      <c r="J69" s="9">
        <f>'3_TF'!J69*'4_IDF'!$E69</f>
        <v/>
      </c>
      <c r="K69" s="9">
        <f>'3_TF'!K69*'4_IDF'!$E69</f>
        <v/>
      </c>
      <c r="L69" s="9">
        <f>'3_TF'!L69*'4_IDF'!$E69</f>
        <v/>
      </c>
      <c r="M69" s="9">
        <f>'3_TF'!M69*'4_IDF'!$E69</f>
        <v/>
      </c>
      <c r="O69" s="6">
        <f>A69</f>
        <v/>
      </c>
      <c r="P69" s="9">
        <f>IF(B$227=0,0,B69/B$227)</f>
        <v/>
      </c>
      <c r="Q69" s="9">
        <f>IF(C$227=0,0,C69/C$227)</f>
        <v/>
      </c>
      <c r="R69" s="9">
        <f>IF(D$227=0,0,D69/D$227)</f>
        <v/>
      </c>
      <c r="S69" s="9">
        <f>IF(E$227=0,0,E69/E$227)</f>
        <v/>
      </c>
      <c r="T69" s="9">
        <f>IF(F$227=0,0,F69/F$227)</f>
        <v/>
      </c>
      <c r="U69" s="9">
        <f>IF(G$227=0,0,G69/G$227)</f>
        <v/>
      </c>
      <c r="V69" s="9">
        <f>IF(H$227=0,0,H69/H$227)</f>
        <v/>
      </c>
      <c r="W69" s="9">
        <f>IF(I$227=0,0,I69/I$227)</f>
        <v/>
      </c>
      <c r="X69" s="9">
        <f>IF(J$227=0,0,J69/J$227)</f>
        <v/>
      </c>
      <c r="Y69" s="9">
        <f>IF(K$227=0,0,K69/K$227)</f>
        <v/>
      </c>
      <c r="Z69" s="9">
        <f>IF(L$227=0,0,L69/L$227)</f>
        <v/>
      </c>
      <c r="AA69" s="9">
        <f>IF(M$227=0,0,M69/M$227)</f>
        <v/>
      </c>
      <c r="AB69" s="9">
        <f>AVERAGE(P69,Q69,S69)</f>
        <v/>
      </c>
    </row>
    <row r="70">
      <c r="A70" s="6">
        <f>'3_TF'!A70</f>
        <v/>
      </c>
      <c r="B70" s="9">
        <f>'3_TF'!B70*'4_IDF'!$E70</f>
        <v/>
      </c>
      <c r="C70" s="9">
        <f>'3_TF'!C70*'4_IDF'!$E70</f>
        <v/>
      </c>
      <c r="D70" s="9">
        <f>'3_TF'!D70*'4_IDF'!$E70</f>
        <v/>
      </c>
      <c r="E70" s="9">
        <f>'3_TF'!E70*'4_IDF'!$E70</f>
        <v/>
      </c>
      <c r="F70" s="9">
        <f>'3_TF'!F70*'4_IDF'!$E70</f>
        <v/>
      </c>
      <c r="G70" s="9">
        <f>'3_TF'!G70*'4_IDF'!$E70</f>
        <v/>
      </c>
      <c r="H70" s="9">
        <f>'3_TF'!H70*'4_IDF'!$E70</f>
        <v/>
      </c>
      <c r="I70" s="9">
        <f>'3_TF'!I70*'4_IDF'!$E70</f>
        <v/>
      </c>
      <c r="J70" s="9">
        <f>'3_TF'!J70*'4_IDF'!$E70</f>
        <v/>
      </c>
      <c r="K70" s="9">
        <f>'3_TF'!K70*'4_IDF'!$E70</f>
        <v/>
      </c>
      <c r="L70" s="9">
        <f>'3_TF'!L70*'4_IDF'!$E70</f>
        <v/>
      </c>
      <c r="M70" s="9">
        <f>'3_TF'!M70*'4_IDF'!$E70</f>
        <v/>
      </c>
      <c r="O70" s="6">
        <f>A70</f>
        <v/>
      </c>
      <c r="P70" s="9">
        <f>IF(B$227=0,0,B70/B$227)</f>
        <v/>
      </c>
      <c r="Q70" s="9">
        <f>IF(C$227=0,0,C70/C$227)</f>
        <v/>
      </c>
      <c r="R70" s="9">
        <f>IF(D$227=0,0,D70/D$227)</f>
        <v/>
      </c>
      <c r="S70" s="9">
        <f>IF(E$227=0,0,E70/E$227)</f>
        <v/>
      </c>
      <c r="T70" s="9">
        <f>IF(F$227=0,0,F70/F$227)</f>
        <v/>
      </c>
      <c r="U70" s="9">
        <f>IF(G$227=0,0,G70/G$227)</f>
        <v/>
      </c>
      <c r="V70" s="9">
        <f>IF(H$227=0,0,H70/H$227)</f>
        <v/>
      </c>
      <c r="W70" s="9">
        <f>IF(I$227=0,0,I70/I$227)</f>
        <v/>
      </c>
      <c r="X70" s="9">
        <f>IF(J$227=0,0,J70/J$227)</f>
        <v/>
      </c>
      <c r="Y70" s="9">
        <f>IF(K$227=0,0,K70/K$227)</f>
        <v/>
      </c>
      <c r="Z70" s="9">
        <f>IF(L$227=0,0,L70/L$227)</f>
        <v/>
      </c>
      <c r="AA70" s="9">
        <f>IF(M$227=0,0,M70/M$227)</f>
        <v/>
      </c>
      <c r="AB70" s="9">
        <f>AVERAGE(P70,Q70,S70)</f>
        <v/>
      </c>
    </row>
    <row r="71">
      <c r="A71" s="6">
        <f>'3_TF'!A71</f>
        <v/>
      </c>
      <c r="B71" s="9">
        <f>'3_TF'!B71*'4_IDF'!$E71</f>
        <v/>
      </c>
      <c r="C71" s="9">
        <f>'3_TF'!C71*'4_IDF'!$E71</f>
        <v/>
      </c>
      <c r="D71" s="9">
        <f>'3_TF'!D71*'4_IDF'!$E71</f>
        <v/>
      </c>
      <c r="E71" s="9">
        <f>'3_TF'!E71*'4_IDF'!$E71</f>
        <v/>
      </c>
      <c r="F71" s="9">
        <f>'3_TF'!F71*'4_IDF'!$E71</f>
        <v/>
      </c>
      <c r="G71" s="9">
        <f>'3_TF'!G71*'4_IDF'!$E71</f>
        <v/>
      </c>
      <c r="H71" s="9">
        <f>'3_TF'!H71*'4_IDF'!$E71</f>
        <v/>
      </c>
      <c r="I71" s="9">
        <f>'3_TF'!I71*'4_IDF'!$E71</f>
        <v/>
      </c>
      <c r="J71" s="9">
        <f>'3_TF'!J71*'4_IDF'!$E71</f>
        <v/>
      </c>
      <c r="K71" s="9">
        <f>'3_TF'!K71*'4_IDF'!$E71</f>
        <v/>
      </c>
      <c r="L71" s="9">
        <f>'3_TF'!L71*'4_IDF'!$E71</f>
        <v/>
      </c>
      <c r="M71" s="9">
        <f>'3_TF'!M71*'4_IDF'!$E71</f>
        <v/>
      </c>
      <c r="O71" s="6">
        <f>A71</f>
        <v/>
      </c>
      <c r="P71" s="9">
        <f>IF(B$227=0,0,B71/B$227)</f>
        <v/>
      </c>
      <c r="Q71" s="9">
        <f>IF(C$227=0,0,C71/C$227)</f>
        <v/>
      </c>
      <c r="R71" s="9">
        <f>IF(D$227=0,0,D71/D$227)</f>
        <v/>
      </c>
      <c r="S71" s="9">
        <f>IF(E$227=0,0,E71/E$227)</f>
        <v/>
      </c>
      <c r="T71" s="9">
        <f>IF(F$227=0,0,F71/F$227)</f>
        <v/>
      </c>
      <c r="U71" s="9">
        <f>IF(G$227=0,0,G71/G$227)</f>
        <v/>
      </c>
      <c r="V71" s="9">
        <f>IF(H$227=0,0,H71/H$227)</f>
        <v/>
      </c>
      <c r="W71" s="9">
        <f>IF(I$227=0,0,I71/I$227)</f>
        <v/>
      </c>
      <c r="X71" s="9">
        <f>IF(J$227=0,0,J71/J$227)</f>
        <v/>
      </c>
      <c r="Y71" s="9">
        <f>IF(K$227=0,0,K71/K$227)</f>
        <v/>
      </c>
      <c r="Z71" s="9">
        <f>IF(L$227=0,0,L71/L$227)</f>
        <v/>
      </c>
      <c r="AA71" s="9">
        <f>IF(M$227=0,0,M71/M$227)</f>
        <v/>
      </c>
      <c r="AB71" s="9">
        <f>AVERAGE(P71,Q71,S71)</f>
        <v/>
      </c>
    </row>
    <row r="72">
      <c r="A72" s="6">
        <f>'3_TF'!A72</f>
        <v/>
      </c>
      <c r="B72" s="9">
        <f>'3_TF'!B72*'4_IDF'!$E72</f>
        <v/>
      </c>
      <c r="C72" s="9">
        <f>'3_TF'!C72*'4_IDF'!$E72</f>
        <v/>
      </c>
      <c r="D72" s="9">
        <f>'3_TF'!D72*'4_IDF'!$E72</f>
        <v/>
      </c>
      <c r="E72" s="9">
        <f>'3_TF'!E72*'4_IDF'!$E72</f>
        <v/>
      </c>
      <c r="F72" s="9">
        <f>'3_TF'!F72*'4_IDF'!$E72</f>
        <v/>
      </c>
      <c r="G72" s="9">
        <f>'3_TF'!G72*'4_IDF'!$E72</f>
        <v/>
      </c>
      <c r="H72" s="9">
        <f>'3_TF'!H72*'4_IDF'!$E72</f>
        <v/>
      </c>
      <c r="I72" s="9">
        <f>'3_TF'!I72*'4_IDF'!$E72</f>
        <v/>
      </c>
      <c r="J72" s="9">
        <f>'3_TF'!J72*'4_IDF'!$E72</f>
        <v/>
      </c>
      <c r="K72" s="9">
        <f>'3_TF'!K72*'4_IDF'!$E72</f>
        <v/>
      </c>
      <c r="L72" s="9">
        <f>'3_TF'!L72*'4_IDF'!$E72</f>
        <v/>
      </c>
      <c r="M72" s="9">
        <f>'3_TF'!M72*'4_IDF'!$E72</f>
        <v/>
      </c>
      <c r="O72" s="6">
        <f>A72</f>
        <v/>
      </c>
      <c r="P72" s="9">
        <f>IF(B$227=0,0,B72/B$227)</f>
        <v/>
      </c>
      <c r="Q72" s="9">
        <f>IF(C$227=0,0,C72/C$227)</f>
        <v/>
      </c>
      <c r="R72" s="9">
        <f>IF(D$227=0,0,D72/D$227)</f>
        <v/>
      </c>
      <c r="S72" s="9">
        <f>IF(E$227=0,0,E72/E$227)</f>
        <v/>
      </c>
      <c r="T72" s="9">
        <f>IF(F$227=0,0,F72/F$227)</f>
        <v/>
      </c>
      <c r="U72" s="9">
        <f>IF(G$227=0,0,G72/G$227)</f>
        <v/>
      </c>
      <c r="V72" s="9">
        <f>IF(H$227=0,0,H72/H$227)</f>
        <v/>
      </c>
      <c r="W72" s="9">
        <f>IF(I$227=0,0,I72/I$227)</f>
        <v/>
      </c>
      <c r="X72" s="9">
        <f>IF(J$227=0,0,J72/J$227)</f>
        <v/>
      </c>
      <c r="Y72" s="9">
        <f>IF(K$227=0,0,K72/K$227)</f>
        <v/>
      </c>
      <c r="Z72" s="9">
        <f>IF(L$227=0,0,L72/L$227)</f>
        <v/>
      </c>
      <c r="AA72" s="9">
        <f>IF(M$227=0,0,M72/M$227)</f>
        <v/>
      </c>
      <c r="AB72" s="9">
        <f>AVERAGE(P72,Q72,S72)</f>
        <v/>
      </c>
    </row>
    <row r="73">
      <c r="A73" s="6">
        <f>'3_TF'!A73</f>
        <v/>
      </c>
      <c r="B73" s="9">
        <f>'3_TF'!B73*'4_IDF'!$E73</f>
        <v/>
      </c>
      <c r="C73" s="9">
        <f>'3_TF'!C73*'4_IDF'!$E73</f>
        <v/>
      </c>
      <c r="D73" s="9">
        <f>'3_TF'!D73*'4_IDF'!$E73</f>
        <v/>
      </c>
      <c r="E73" s="9">
        <f>'3_TF'!E73*'4_IDF'!$E73</f>
        <v/>
      </c>
      <c r="F73" s="9">
        <f>'3_TF'!F73*'4_IDF'!$E73</f>
        <v/>
      </c>
      <c r="G73" s="9">
        <f>'3_TF'!G73*'4_IDF'!$E73</f>
        <v/>
      </c>
      <c r="H73" s="9">
        <f>'3_TF'!H73*'4_IDF'!$E73</f>
        <v/>
      </c>
      <c r="I73" s="9">
        <f>'3_TF'!I73*'4_IDF'!$E73</f>
        <v/>
      </c>
      <c r="J73" s="9">
        <f>'3_TF'!J73*'4_IDF'!$E73</f>
        <v/>
      </c>
      <c r="K73" s="9">
        <f>'3_TF'!K73*'4_IDF'!$E73</f>
        <v/>
      </c>
      <c r="L73" s="9">
        <f>'3_TF'!L73*'4_IDF'!$E73</f>
        <v/>
      </c>
      <c r="M73" s="9">
        <f>'3_TF'!M73*'4_IDF'!$E73</f>
        <v/>
      </c>
      <c r="O73" s="6">
        <f>A73</f>
        <v/>
      </c>
      <c r="P73" s="9">
        <f>IF(B$227=0,0,B73/B$227)</f>
        <v/>
      </c>
      <c r="Q73" s="9">
        <f>IF(C$227=0,0,C73/C$227)</f>
        <v/>
      </c>
      <c r="R73" s="9">
        <f>IF(D$227=0,0,D73/D$227)</f>
        <v/>
      </c>
      <c r="S73" s="9">
        <f>IF(E$227=0,0,E73/E$227)</f>
        <v/>
      </c>
      <c r="T73" s="9">
        <f>IF(F$227=0,0,F73/F$227)</f>
        <v/>
      </c>
      <c r="U73" s="9">
        <f>IF(G$227=0,0,G73/G$227)</f>
        <v/>
      </c>
      <c r="V73" s="9">
        <f>IF(H$227=0,0,H73/H$227)</f>
        <v/>
      </c>
      <c r="W73" s="9">
        <f>IF(I$227=0,0,I73/I$227)</f>
        <v/>
      </c>
      <c r="X73" s="9">
        <f>IF(J$227=0,0,J73/J$227)</f>
        <v/>
      </c>
      <c r="Y73" s="9">
        <f>IF(K$227=0,0,K73/K$227)</f>
        <v/>
      </c>
      <c r="Z73" s="9">
        <f>IF(L$227=0,0,L73/L$227)</f>
        <v/>
      </c>
      <c r="AA73" s="9">
        <f>IF(M$227=0,0,M73/M$227)</f>
        <v/>
      </c>
      <c r="AB73" s="9">
        <f>AVERAGE(P73,Q73,S73)</f>
        <v/>
      </c>
    </row>
    <row r="74">
      <c r="A74" s="6">
        <f>'3_TF'!A74</f>
        <v/>
      </c>
      <c r="B74" s="9">
        <f>'3_TF'!B74*'4_IDF'!$E74</f>
        <v/>
      </c>
      <c r="C74" s="9">
        <f>'3_TF'!C74*'4_IDF'!$E74</f>
        <v/>
      </c>
      <c r="D74" s="9">
        <f>'3_TF'!D74*'4_IDF'!$E74</f>
        <v/>
      </c>
      <c r="E74" s="9">
        <f>'3_TF'!E74*'4_IDF'!$E74</f>
        <v/>
      </c>
      <c r="F74" s="9">
        <f>'3_TF'!F74*'4_IDF'!$E74</f>
        <v/>
      </c>
      <c r="G74" s="9">
        <f>'3_TF'!G74*'4_IDF'!$E74</f>
        <v/>
      </c>
      <c r="H74" s="9">
        <f>'3_TF'!H74*'4_IDF'!$E74</f>
        <v/>
      </c>
      <c r="I74" s="9">
        <f>'3_TF'!I74*'4_IDF'!$E74</f>
        <v/>
      </c>
      <c r="J74" s="9">
        <f>'3_TF'!J74*'4_IDF'!$E74</f>
        <v/>
      </c>
      <c r="K74" s="9">
        <f>'3_TF'!K74*'4_IDF'!$E74</f>
        <v/>
      </c>
      <c r="L74" s="9">
        <f>'3_TF'!L74*'4_IDF'!$E74</f>
        <v/>
      </c>
      <c r="M74" s="9">
        <f>'3_TF'!M74*'4_IDF'!$E74</f>
        <v/>
      </c>
      <c r="O74" s="6">
        <f>A74</f>
        <v/>
      </c>
      <c r="P74" s="9">
        <f>IF(B$227=0,0,B74/B$227)</f>
        <v/>
      </c>
      <c r="Q74" s="9">
        <f>IF(C$227=0,0,C74/C$227)</f>
        <v/>
      </c>
      <c r="R74" s="9">
        <f>IF(D$227=0,0,D74/D$227)</f>
        <v/>
      </c>
      <c r="S74" s="9">
        <f>IF(E$227=0,0,E74/E$227)</f>
        <v/>
      </c>
      <c r="T74" s="9">
        <f>IF(F$227=0,0,F74/F$227)</f>
        <v/>
      </c>
      <c r="U74" s="9">
        <f>IF(G$227=0,0,G74/G$227)</f>
        <v/>
      </c>
      <c r="V74" s="9">
        <f>IF(H$227=0,0,H74/H$227)</f>
        <v/>
      </c>
      <c r="W74" s="9">
        <f>IF(I$227=0,0,I74/I$227)</f>
        <v/>
      </c>
      <c r="X74" s="9">
        <f>IF(J$227=0,0,J74/J$227)</f>
        <v/>
      </c>
      <c r="Y74" s="9">
        <f>IF(K$227=0,0,K74/K$227)</f>
        <v/>
      </c>
      <c r="Z74" s="9">
        <f>IF(L$227=0,0,L74/L$227)</f>
        <v/>
      </c>
      <c r="AA74" s="9">
        <f>IF(M$227=0,0,M74/M$227)</f>
        <v/>
      </c>
      <c r="AB74" s="9">
        <f>AVERAGE(P74,Q74,S74)</f>
        <v/>
      </c>
    </row>
    <row r="75">
      <c r="A75" s="6">
        <f>'3_TF'!A75</f>
        <v/>
      </c>
      <c r="B75" s="9">
        <f>'3_TF'!B75*'4_IDF'!$E75</f>
        <v/>
      </c>
      <c r="C75" s="9">
        <f>'3_TF'!C75*'4_IDF'!$E75</f>
        <v/>
      </c>
      <c r="D75" s="9">
        <f>'3_TF'!D75*'4_IDF'!$E75</f>
        <v/>
      </c>
      <c r="E75" s="9">
        <f>'3_TF'!E75*'4_IDF'!$E75</f>
        <v/>
      </c>
      <c r="F75" s="9">
        <f>'3_TF'!F75*'4_IDF'!$E75</f>
        <v/>
      </c>
      <c r="G75" s="9">
        <f>'3_TF'!G75*'4_IDF'!$E75</f>
        <v/>
      </c>
      <c r="H75" s="9">
        <f>'3_TF'!H75*'4_IDF'!$E75</f>
        <v/>
      </c>
      <c r="I75" s="9">
        <f>'3_TF'!I75*'4_IDF'!$E75</f>
        <v/>
      </c>
      <c r="J75" s="9">
        <f>'3_TF'!J75*'4_IDF'!$E75</f>
        <v/>
      </c>
      <c r="K75" s="9">
        <f>'3_TF'!K75*'4_IDF'!$E75</f>
        <v/>
      </c>
      <c r="L75" s="9">
        <f>'3_TF'!L75*'4_IDF'!$E75</f>
        <v/>
      </c>
      <c r="M75" s="9">
        <f>'3_TF'!M75*'4_IDF'!$E75</f>
        <v/>
      </c>
      <c r="O75" s="6">
        <f>A75</f>
        <v/>
      </c>
      <c r="P75" s="9">
        <f>IF(B$227=0,0,B75/B$227)</f>
        <v/>
      </c>
      <c r="Q75" s="9">
        <f>IF(C$227=0,0,C75/C$227)</f>
        <v/>
      </c>
      <c r="R75" s="9">
        <f>IF(D$227=0,0,D75/D$227)</f>
        <v/>
      </c>
      <c r="S75" s="9">
        <f>IF(E$227=0,0,E75/E$227)</f>
        <v/>
      </c>
      <c r="T75" s="9">
        <f>IF(F$227=0,0,F75/F$227)</f>
        <v/>
      </c>
      <c r="U75" s="9">
        <f>IF(G$227=0,0,G75/G$227)</f>
        <v/>
      </c>
      <c r="V75" s="9">
        <f>IF(H$227=0,0,H75/H$227)</f>
        <v/>
      </c>
      <c r="W75" s="9">
        <f>IF(I$227=0,0,I75/I$227)</f>
        <v/>
      </c>
      <c r="X75" s="9">
        <f>IF(J$227=0,0,J75/J$227)</f>
        <v/>
      </c>
      <c r="Y75" s="9">
        <f>IF(K$227=0,0,K75/K$227)</f>
        <v/>
      </c>
      <c r="Z75" s="9">
        <f>IF(L$227=0,0,L75/L$227)</f>
        <v/>
      </c>
      <c r="AA75" s="9">
        <f>IF(M$227=0,0,M75/M$227)</f>
        <v/>
      </c>
      <c r="AB75" s="9">
        <f>AVERAGE(P75,Q75,S75)</f>
        <v/>
      </c>
    </row>
    <row r="76">
      <c r="A76" s="6">
        <f>'3_TF'!A76</f>
        <v/>
      </c>
      <c r="B76" s="9">
        <f>'3_TF'!B76*'4_IDF'!$E76</f>
        <v/>
      </c>
      <c r="C76" s="9">
        <f>'3_TF'!C76*'4_IDF'!$E76</f>
        <v/>
      </c>
      <c r="D76" s="9">
        <f>'3_TF'!D76*'4_IDF'!$E76</f>
        <v/>
      </c>
      <c r="E76" s="9">
        <f>'3_TF'!E76*'4_IDF'!$E76</f>
        <v/>
      </c>
      <c r="F76" s="9">
        <f>'3_TF'!F76*'4_IDF'!$E76</f>
        <v/>
      </c>
      <c r="G76" s="9">
        <f>'3_TF'!G76*'4_IDF'!$E76</f>
        <v/>
      </c>
      <c r="H76" s="9">
        <f>'3_TF'!H76*'4_IDF'!$E76</f>
        <v/>
      </c>
      <c r="I76" s="9">
        <f>'3_TF'!I76*'4_IDF'!$E76</f>
        <v/>
      </c>
      <c r="J76" s="9">
        <f>'3_TF'!J76*'4_IDF'!$E76</f>
        <v/>
      </c>
      <c r="K76" s="9">
        <f>'3_TF'!K76*'4_IDF'!$E76</f>
        <v/>
      </c>
      <c r="L76" s="9">
        <f>'3_TF'!L76*'4_IDF'!$E76</f>
        <v/>
      </c>
      <c r="M76" s="9">
        <f>'3_TF'!M76*'4_IDF'!$E76</f>
        <v/>
      </c>
      <c r="O76" s="6">
        <f>A76</f>
        <v/>
      </c>
      <c r="P76" s="9">
        <f>IF(B$227=0,0,B76/B$227)</f>
        <v/>
      </c>
      <c r="Q76" s="9">
        <f>IF(C$227=0,0,C76/C$227)</f>
        <v/>
      </c>
      <c r="R76" s="9">
        <f>IF(D$227=0,0,D76/D$227)</f>
        <v/>
      </c>
      <c r="S76" s="9">
        <f>IF(E$227=0,0,E76/E$227)</f>
        <v/>
      </c>
      <c r="T76" s="9">
        <f>IF(F$227=0,0,F76/F$227)</f>
        <v/>
      </c>
      <c r="U76" s="9">
        <f>IF(G$227=0,0,G76/G$227)</f>
        <v/>
      </c>
      <c r="V76" s="9">
        <f>IF(H$227=0,0,H76/H$227)</f>
        <v/>
      </c>
      <c r="W76" s="9">
        <f>IF(I$227=0,0,I76/I$227)</f>
        <v/>
      </c>
      <c r="X76" s="9">
        <f>IF(J$227=0,0,J76/J$227)</f>
        <v/>
      </c>
      <c r="Y76" s="9">
        <f>IF(K$227=0,0,K76/K$227)</f>
        <v/>
      </c>
      <c r="Z76" s="9">
        <f>IF(L$227=0,0,L76/L$227)</f>
        <v/>
      </c>
      <c r="AA76" s="9">
        <f>IF(M$227=0,0,M76/M$227)</f>
        <v/>
      </c>
      <c r="AB76" s="9">
        <f>AVERAGE(P76,Q76,S76)</f>
        <v/>
      </c>
    </row>
    <row r="77">
      <c r="A77" s="6">
        <f>'3_TF'!A77</f>
        <v/>
      </c>
      <c r="B77" s="9">
        <f>'3_TF'!B77*'4_IDF'!$E77</f>
        <v/>
      </c>
      <c r="C77" s="9">
        <f>'3_TF'!C77*'4_IDF'!$E77</f>
        <v/>
      </c>
      <c r="D77" s="9">
        <f>'3_TF'!D77*'4_IDF'!$E77</f>
        <v/>
      </c>
      <c r="E77" s="9">
        <f>'3_TF'!E77*'4_IDF'!$E77</f>
        <v/>
      </c>
      <c r="F77" s="9">
        <f>'3_TF'!F77*'4_IDF'!$E77</f>
        <v/>
      </c>
      <c r="G77" s="9">
        <f>'3_TF'!G77*'4_IDF'!$E77</f>
        <v/>
      </c>
      <c r="H77" s="9">
        <f>'3_TF'!H77*'4_IDF'!$E77</f>
        <v/>
      </c>
      <c r="I77" s="9">
        <f>'3_TF'!I77*'4_IDF'!$E77</f>
        <v/>
      </c>
      <c r="J77" s="9">
        <f>'3_TF'!J77*'4_IDF'!$E77</f>
        <v/>
      </c>
      <c r="K77" s="9">
        <f>'3_TF'!K77*'4_IDF'!$E77</f>
        <v/>
      </c>
      <c r="L77" s="9">
        <f>'3_TF'!L77*'4_IDF'!$E77</f>
        <v/>
      </c>
      <c r="M77" s="9">
        <f>'3_TF'!M77*'4_IDF'!$E77</f>
        <v/>
      </c>
      <c r="O77" s="6">
        <f>A77</f>
        <v/>
      </c>
      <c r="P77" s="9">
        <f>IF(B$227=0,0,B77/B$227)</f>
        <v/>
      </c>
      <c r="Q77" s="9">
        <f>IF(C$227=0,0,C77/C$227)</f>
        <v/>
      </c>
      <c r="R77" s="9">
        <f>IF(D$227=0,0,D77/D$227)</f>
        <v/>
      </c>
      <c r="S77" s="9">
        <f>IF(E$227=0,0,E77/E$227)</f>
        <v/>
      </c>
      <c r="T77" s="9">
        <f>IF(F$227=0,0,F77/F$227)</f>
        <v/>
      </c>
      <c r="U77" s="9">
        <f>IF(G$227=0,0,G77/G$227)</f>
        <v/>
      </c>
      <c r="V77" s="9">
        <f>IF(H$227=0,0,H77/H$227)</f>
        <v/>
      </c>
      <c r="W77" s="9">
        <f>IF(I$227=0,0,I77/I$227)</f>
        <v/>
      </c>
      <c r="X77" s="9">
        <f>IF(J$227=0,0,J77/J$227)</f>
        <v/>
      </c>
      <c r="Y77" s="9">
        <f>IF(K$227=0,0,K77/K$227)</f>
        <v/>
      </c>
      <c r="Z77" s="9">
        <f>IF(L$227=0,0,L77/L$227)</f>
        <v/>
      </c>
      <c r="AA77" s="9">
        <f>IF(M$227=0,0,M77/M$227)</f>
        <v/>
      </c>
      <c r="AB77" s="9">
        <f>AVERAGE(P77,Q77,S77)</f>
        <v/>
      </c>
    </row>
    <row r="78">
      <c r="A78" s="6">
        <f>'3_TF'!A78</f>
        <v/>
      </c>
      <c r="B78" s="9">
        <f>'3_TF'!B78*'4_IDF'!$E78</f>
        <v/>
      </c>
      <c r="C78" s="9">
        <f>'3_TF'!C78*'4_IDF'!$E78</f>
        <v/>
      </c>
      <c r="D78" s="9">
        <f>'3_TF'!D78*'4_IDF'!$E78</f>
        <v/>
      </c>
      <c r="E78" s="9">
        <f>'3_TF'!E78*'4_IDF'!$E78</f>
        <v/>
      </c>
      <c r="F78" s="9">
        <f>'3_TF'!F78*'4_IDF'!$E78</f>
        <v/>
      </c>
      <c r="G78" s="9">
        <f>'3_TF'!G78*'4_IDF'!$E78</f>
        <v/>
      </c>
      <c r="H78" s="9">
        <f>'3_TF'!H78*'4_IDF'!$E78</f>
        <v/>
      </c>
      <c r="I78" s="9">
        <f>'3_TF'!I78*'4_IDF'!$E78</f>
        <v/>
      </c>
      <c r="J78" s="9">
        <f>'3_TF'!J78*'4_IDF'!$E78</f>
        <v/>
      </c>
      <c r="K78" s="9">
        <f>'3_TF'!K78*'4_IDF'!$E78</f>
        <v/>
      </c>
      <c r="L78" s="9">
        <f>'3_TF'!L78*'4_IDF'!$E78</f>
        <v/>
      </c>
      <c r="M78" s="9">
        <f>'3_TF'!M78*'4_IDF'!$E78</f>
        <v/>
      </c>
      <c r="O78" s="6">
        <f>A78</f>
        <v/>
      </c>
      <c r="P78" s="9">
        <f>IF(B$227=0,0,B78/B$227)</f>
        <v/>
      </c>
      <c r="Q78" s="9">
        <f>IF(C$227=0,0,C78/C$227)</f>
        <v/>
      </c>
      <c r="R78" s="9">
        <f>IF(D$227=0,0,D78/D$227)</f>
        <v/>
      </c>
      <c r="S78" s="9">
        <f>IF(E$227=0,0,E78/E$227)</f>
        <v/>
      </c>
      <c r="T78" s="9">
        <f>IF(F$227=0,0,F78/F$227)</f>
        <v/>
      </c>
      <c r="U78" s="9">
        <f>IF(G$227=0,0,G78/G$227)</f>
        <v/>
      </c>
      <c r="V78" s="9">
        <f>IF(H$227=0,0,H78/H$227)</f>
        <v/>
      </c>
      <c r="W78" s="9">
        <f>IF(I$227=0,0,I78/I$227)</f>
        <v/>
      </c>
      <c r="X78" s="9">
        <f>IF(J$227=0,0,J78/J$227)</f>
        <v/>
      </c>
      <c r="Y78" s="9">
        <f>IF(K$227=0,0,K78/K$227)</f>
        <v/>
      </c>
      <c r="Z78" s="9">
        <f>IF(L$227=0,0,L78/L$227)</f>
        <v/>
      </c>
      <c r="AA78" s="9">
        <f>IF(M$227=0,0,M78/M$227)</f>
        <v/>
      </c>
      <c r="AB78" s="9">
        <f>AVERAGE(P78,Q78,S78)</f>
        <v/>
      </c>
    </row>
    <row r="79">
      <c r="A79" s="6">
        <f>'3_TF'!A79</f>
        <v/>
      </c>
      <c r="B79" s="9">
        <f>'3_TF'!B79*'4_IDF'!$E79</f>
        <v/>
      </c>
      <c r="C79" s="9">
        <f>'3_TF'!C79*'4_IDF'!$E79</f>
        <v/>
      </c>
      <c r="D79" s="9">
        <f>'3_TF'!D79*'4_IDF'!$E79</f>
        <v/>
      </c>
      <c r="E79" s="9">
        <f>'3_TF'!E79*'4_IDF'!$E79</f>
        <v/>
      </c>
      <c r="F79" s="9">
        <f>'3_TF'!F79*'4_IDF'!$E79</f>
        <v/>
      </c>
      <c r="G79" s="9">
        <f>'3_TF'!G79*'4_IDF'!$E79</f>
        <v/>
      </c>
      <c r="H79" s="9">
        <f>'3_TF'!H79*'4_IDF'!$E79</f>
        <v/>
      </c>
      <c r="I79" s="9">
        <f>'3_TF'!I79*'4_IDF'!$E79</f>
        <v/>
      </c>
      <c r="J79" s="9">
        <f>'3_TF'!J79*'4_IDF'!$E79</f>
        <v/>
      </c>
      <c r="K79" s="9">
        <f>'3_TF'!K79*'4_IDF'!$E79</f>
        <v/>
      </c>
      <c r="L79" s="9">
        <f>'3_TF'!L79*'4_IDF'!$E79</f>
        <v/>
      </c>
      <c r="M79" s="9">
        <f>'3_TF'!M79*'4_IDF'!$E79</f>
        <v/>
      </c>
      <c r="O79" s="6">
        <f>A79</f>
        <v/>
      </c>
      <c r="P79" s="9">
        <f>IF(B$227=0,0,B79/B$227)</f>
        <v/>
      </c>
      <c r="Q79" s="9">
        <f>IF(C$227=0,0,C79/C$227)</f>
        <v/>
      </c>
      <c r="R79" s="9">
        <f>IF(D$227=0,0,D79/D$227)</f>
        <v/>
      </c>
      <c r="S79" s="9">
        <f>IF(E$227=0,0,E79/E$227)</f>
        <v/>
      </c>
      <c r="T79" s="9">
        <f>IF(F$227=0,0,F79/F$227)</f>
        <v/>
      </c>
      <c r="U79" s="9">
        <f>IF(G$227=0,0,G79/G$227)</f>
        <v/>
      </c>
      <c r="V79" s="9">
        <f>IF(H$227=0,0,H79/H$227)</f>
        <v/>
      </c>
      <c r="W79" s="9">
        <f>IF(I$227=0,0,I79/I$227)</f>
        <v/>
      </c>
      <c r="X79" s="9">
        <f>IF(J$227=0,0,J79/J$227)</f>
        <v/>
      </c>
      <c r="Y79" s="9">
        <f>IF(K$227=0,0,K79/K$227)</f>
        <v/>
      </c>
      <c r="Z79" s="9">
        <f>IF(L$227=0,0,L79/L$227)</f>
        <v/>
      </c>
      <c r="AA79" s="9">
        <f>IF(M$227=0,0,M79/M$227)</f>
        <v/>
      </c>
      <c r="AB79" s="9">
        <f>AVERAGE(P79,Q79,S79)</f>
        <v/>
      </c>
    </row>
    <row r="80">
      <c r="A80" s="6">
        <f>'3_TF'!A80</f>
        <v/>
      </c>
      <c r="B80" s="9">
        <f>'3_TF'!B80*'4_IDF'!$E80</f>
        <v/>
      </c>
      <c r="C80" s="9">
        <f>'3_TF'!C80*'4_IDF'!$E80</f>
        <v/>
      </c>
      <c r="D80" s="9">
        <f>'3_TF'!D80*'4_IDF'!$E80</f>
        <v/>
      </c>
      <c r="E80" s="9">
        <f>'3_TF'!E80*'4_IDF'!$E80</f>
        <v/>
      </c>
      <c r="F80" s="9">
        <f>'3_TF'!F80*'4_IDF'!$E80</f>
        <v/>
      </c>
      <c r="G80" s="9">
        <f>'3_TF'!G80*'4_IDF'!$E80</f>
        <v/>
      </c>
      <c r="H80" s="9">
        <f>'3_TF'!H80*'4_IDF'!$E80</f>
        <v/>
      </c>
      <c r="I80" s="9">
        <f>'3_TF'!I80*'4_IDF'!$E80</f>
        <v/>
      </c>
      <c r="J80" s="9">
        <f>'3_TF'!J80*'4_IDF'!$E80</f>
        <v/>
      </c>
      <c r="K80" s="9">
        <f>'3_TF'!K80*'4_IDF'!$E80</f>
        <v/>
      </c>
      <c r="L80" s="9">
        <f>'3_TF'!L80*'4_IDF'!$E80</f>
        <v/>
      </c>
      <c r="M80" s="9">
        <f>'3_TF'!M80*'4_IDF'!$E80</f>
        <v/>
      </c>
      <c r="O80" s="6">
        <f>A80</f>
        <v/>
      </c>
      <c r="P80" s="9">
        <f>IF(B$227=0,0,B80/B$227)</f>
        <v/>
      </c>
      <c r="Q80" s="9">
        <f>IF(C$227=0,0,C80/C$227)</f>
        <v/>
      </c>
      <c r="R80" s="9">
        <f>IF(D$227=0,0,D80/D$227)</f>
        <v/>
      </c>
      <c r="S80" s="9">
        <f>IF(E$227=0,0,E80/E$227)</f>
        <v/>
      </c>
      <c r="T80" s="9">
        <f>IF(F$227=0,0,F80/F$227)</f>
        <v/>
      </c>
      <c r="U80" s="9">
        <f>IF(G$227=0,0,G80/G$227)</f>
        <v/>
      </c>
      <c r="V80" s="9">
        <f>IF(H$227=0,0,H80/H$227)</f>
        <v/>
      </c>
      <c r="W80" s="9">
        <f>IF(I$227=0,0,I80/I$227)</f>
        <v/>
      </c>
      <c r="X80" s="9">
        <f>IF(J$227=0,0,J80/J$227)</f>
        <v/>
      </c>
      <c r="Y80" s="9">
        <f>IF(K$227=0,0,K80/K$227)</f>
        <v/>
      </c>
      <c r="Z80" s="9">
        <f>IF(L$227=0,0,L80/L$227)</f>
        <v/>
      </c>
      <c r="AA80" s="9">
        <f>IF(M$227=0,0,M80/M$227)</f>
        <v/>
      </c>
      <c r="AB80" s="9">
        <f>AVERAGE(P80,Q80,S80)</f>
        <v/>
      </c>
    </row>
    <row r="81">
      <c r="A81" s="6">
        <f>'3_TF'!A81</f>
        <v/>
      </c>
      <c r="B81" s="9">
        <f>'3_TF'!B81*'4_IDF'!$E81</f>
        <v/>
      </c>
      <c r="C81" s="9">
        <f>'3_TF'!C81*'4_IDF'!$E81</f>
        <v/>
      </c>
      <c r="D81" s="9">
        <f>'3_TF'!D81*'4_IDF'!$E81</f>
        <v/>
      </c>
      <c r="E81" s="9">
        <f>'3_TF'!E81*'4_IDF'!$E81</f>
        <v/>
      </c>
      <c r="F81" s="9">
        <f>'3_TF'!F81*'4_IDF'!$E81</f>
        <v/>
      </c>
      <c r="G81" s="9">
        <f>'3_TF'!G81*'4_IDF'!$E81</f>
        <v/>
      </c>
      <c r="H81" s="9">
        <f>'3_TF'!H81*'4_IDF'!$E81</f>
        <v/>
      </c>
      <c r="I81" s="9">
        <f>'3_TF'!I81*'4_IDF'!$E81</f>
        <v/>
      </c>
      <c r="J81" s="9">
        <f>'3_TF'!J81*'4_IDF'!$E81</f>
        <v/>
      </c>
      <c r="K81" s="9">
        <f>'3_TF'!K81*'4_IDF'!$E81</f>
        <v/>
      </c>
      <c r="L81" s="9">
        <f>'3_TF'!L81*'4_IDF'!$E81</f>
        <v/>
      </c>
      <c r="M81" s="9">
        <f>'3_TF'!M81*'4_IDF'!$E81</f>
        <v/>
      </c>
      <c r="O81" s="6">
        <f>A81</f>
        <v/>
      </c>
      <c r="P81" s="9">
        <f>IF(B$227=0,0,B81/B$227)</f>
        <v/>
      </c>
      <c r="Q81" s="9">
        <f>IF(C$227=0,0,C81/C$227)</f>
        <v/>
      </c>
      <c r="R81" s="9">
        <f>IF(D$227=0,0,D81/D$227)</f>
        <v/>
      </c>
      <c r="S81" s="9">
        <f>IF(E$227=0,0,E81/E$227)</f>
        <v/>
      </c>
      <c r="T81" s="9">
        <f>IF(F$227=0,0,F81/F$227)</f>
        <v/>
      </c>
      <c r="U81" s="9">
        <f>IF(G$227=0,0,G81/G$227)</f>
        <v/>
      </c>
      <c r="V81" s="9">
        <f>IF(H$227=0,0,H81/H$227)</f>
        <v/>
      </c>
      <c r="W81" s="9">
        <f>IF(I$227=0,0,I81/I$227)</f>
        <v/>
      </c>
      <c r="X81" s="9">
        <f>IF(J$227=0,0,J81/J$227)</f>
        <v/>
      </c>
      <c r="Y81" s="9">
        <f>IF(K$227=0,0,K81/K$227)</f>
        <v/>
      </c>
      <c r="Z81" s="9">
        <f>IF(L$227=0,0,L81/L$227)</f>
        <v/>
      </c>
      <c r="AA81" s="9">
        <f>IF(M$227=0,0,M81/M$227)</f>
        <v/>
      </c>
      <c r="AB81" s="9">
        <f>AVERAGE(P81,Q81,S81)</f>
        <v/>
      </c>
    </row>
    <row r="82">
      <c r="A82" s="6">
        <f>'3_TF'!A82</f>
        <v/>
      </c>
      <c r="B82" s="9">
        <f>'3_TF'!B82*'4_IDF'!$E82</f>
        <v/>
      </c>
      <c r="C82" s="9">
        <f>'3_TF'!C82*'4_IDF'!$E82</f>
        <v/>
      </c>
      <c r="D82" s="9">
        <f>'3_TF'!D82*'4_IDF'!$E82</f>
        <v/>
      </c>
      <c r="E82" s="9">
        <f>'3_TF'!E82*'4_IDF'!$E82</f>
        <v/>
      </c>
      <c r="F82" s="9">
        <f>'3_TF'!F82*'4_IDF'!$E82</f>
        <v/>
      </c>
      <c r="G82" s="9">
        <f>'3_TF'!G82*'4_IDF'!$E82</f>
        <v/>
      </c>
      <c r="H82" s="9">
        <f>'3_TF'!H82*'4_IDF'!$E82</f>
        <v/>
      </c>
      <c r="I82" s="9">
        <f>'3_TF'!I82*'4_IDF'!$E82</f>
        <v/>
      </c>
      <c r="J82" s="9">
        <f>'3_TF'!J82*'4_IDF'!$E82</f>
        <v/>
      </c>
      <c r="K82" s="9">
        <f>'3_TF'!K82*'4_IDF'!$E82</f>
        <v/>
      </c>
      <c r="L82" s="9">
        <f>'3_TF'!L82*'4_IDF'!$E82</f>
        <v/>
      </c>
      <c r="M82" s="9">
        <f>'3_TF'!M82*'4_IDF'!$E82</f>
        <v/>
      </c>
      <c r="O82" s="6">
        <f>A82</f>
        <v/>
      </c>
      <c r="P82" s="9">
        <f>IF(B$227=0,0,B82/B$227)</f>
        <v/>
      </c>
      <c r="Q82" s="9">
        <f>IF(C$227=0,0,C82/C$227)</f>
        <v/>
      </c>
      <c r="R82" s="9">
        <f>IF(D$227=0,0,D82/D$227)</f>
        <v/>
      </c>
      <c r="S82" s="9">
        <f>IF(E$227=0,0,E82/E$227)</f>
        <v/>
      </c>
      <c r="T82" s="9">
        <f>IF(F$227=0,0,F82/F$227)</f>
        <v/>
      </c>
      <c r="U82" s="9">
        <f>IF(G$227=0,0,G82/G$227)</f>
        <v/>
      </c>
      <c r="V82" s="9">
        <f>IF(H$227=0,0,H82/H$227)</f>
        <v/>
      </c>
      <c r="W82" s="9">
        <f>IF(I$227=0,0,I82/I$227)</f>
        <v/>
      </c>
      <c r="X82" s="9">
        <f>IF(J$227=0,0,J82/J$227)</f>
        <v/>
      </c>
      <c r="Y82" s="9">
        <f>IF(K$227=0,0,K82/K$227)</f>
        <v/>
      </c>
      <c r="Z82" s="9">
        <f>IF(L$227=0,0,L82/L$227)</f>
        <v/>
      </c>
      <c r="AA82" s="9">
        <f>IF(M$227=0,0,M82/M$227)</f>
        <v/>
      </c>
      <c r="AB82" s="9">
        <f>AVERAGE(P82,Q82,S82)</f>
        <v/>
      </c>
    </row>
    <row r="83">
      <c r="A83" s="6">
        <f>'3_TF'!A83</f>
        <v/>
      </c>
      <c r="B83" s="9">
        <f>'3_TF'!B83*'4_IDF'!$E83</f>
        <v/>
      </c>
      <c r="C83" s="9">
        <f>'3_TF'!C83*'4_IDF'!$E83</f>
        <v/>
      </c>
      <c r="D83" s="9">
        <f>'3_TF'!D83*'4_IDF'!$E83</f>
        <v/>
      </c>
      <c r="E83" s="9">
        <f>'3_TF'!E83*'4_IDF'!$E83</f>
        <v/>
      </c>
      <c r="F83" s="9">
        <f>'3_TF'!F83*'4_IDF'!$E83</f>
        <v/>
      </c>
      <c r="G83" s="9">
        <f>'3_TF'!G83*'4_IDF'!$E83</f>
        <v/>
      </c>
      <c r="H83" s="9">
        <f>'3_TF'!H83*'4_IDF'!$E83</f>
        <v/>
      </c>
      <c r="I83" s="9">
        <f>'3_TF'!I83*'4_IDF'!$E83</f>
        <v/>
      </c>
      <c r="J83" s="9">
        <f>'3_TF'!J83*'4_IDF'!$E83</f>
        <v/>
      </c>
      <c r="K83" s="9">
        <f>'3_TF'!K83*'4_IDF'!$E83</f>
        <v/>
      </c>
      <c r="L83" s="9">
        <f>'3_TF'!L83*'4_IDF'!$E83</f>
        <v/>
      </c>
      <c r="M83" s="9">
        <f>'3_TF'!M83*'4_IDF'!$E83</f>
        <v/>
      </c>
      <c r="O83" s="6">
        <f>A83</f>
        <v/>
      </c>
      <c r="P83" s="9">
        <f>IF(B$227=0,0,B83/B$227)</f>
        <v/>
      </c>
      <c r="Q83" s="9">
        <f>IF(C$227=0,0,C83/C$227)</f>
        <v/>
      </c>
      <c r="R83" s="9">
        <f>IF(D$227=0,0,D83/D$227)</f>
        <v/>
      </c>
      <c r="S83" s="9">
        <f>IF(E$227=0,0,E83/E$227)</f>
        <v/>
      </c>
      <c r="T83" s="9">
        <f>IF(F$227=0,0,F83/F$227)</f>
        <v/>
      </c>
      <c r="U83" s="9">
        <f>IF(G$227=0,0,G83/G$227)</f>
        <v/>
      </c>
      <c r="V83" s="9">
        <f>IF(H$227=0,0,H83/H$227)</f>
        <v/>
      </c>
      <c r="W83" s="9">
        <f>IF(I$227=0,0,I83/I$227)</f>
        <v/>
      </c>
      <c r="X83" s="9">
        <f>IF(J$227=0,0,J83/J$227)</f>
        <v/>
      </c>
      <c r="Y83" s="9">
        <f>IF(K$227=0,0,K83/K$227)</f>
        <v/>
      </c>
      <c r="Z83" s="9">
        <f>IF(L$227=0,0,L83/L$227)</f>
        <v/>
      </c>
      <c r="AA83" s="9">
        <f>IF(M$227=0,0,M83/M$227)</f>
        <v/>
      </c>
      <c r="AB83" s="9">
        <f>AVERAGE(P83,Q83,S83)</f>
        <v/>
      </c>
    </row>
    <row r="84">
      <c r="A84" s="6">
        <f>'3_TF'!A84</f>
        <v/>
      </c>
      <c r="B84" s="9">
        <f>'3_TF'!B84*'4_IDF'!$E84</f>
        <v/>
      </c>
      <c r="C84" s="9">
        <f>'3_TF'!C84*'4_IDF'!$E84</f>
        <v/>
      </c>
      <c r="D84" s="9">
        <f>'3_TF'!D84*'4_IDF'!$E84</f>
        <v/>
      </c>
      <c r="E84" s="9">
        <f>'3_TF'!E84*'4_IDF'!$E84</f>
        <v/>
      </c>
      <c r="F84" s="9">
        <f>'3_TF'!F84*'4_IDF'!$E84</f>
        <v/>
      </c>
      <c r="G84" s="9">
        <f>'3_TF'!G84*'4_IDF'!$E84</f>
        <v/>
      </c>
      <c r="H84" s="9">
        <f>'3_TF'!H84*'4_IDF'!$E84</f>
        <v/>
      </c>
      <c r="I84" s="9">
        <f>'3_TF'!I84*'4_IDF'!$E84</f>
        <v/>
      </c>
      <c r="J84" s="9">
        <f>'3_TF'!J84*'4_IDF'!$E84</f>
        <v/>
      </c>
      <c r="K84" s="9">
        <f>'3_TF'!K84*'4_IDF'!$E84</f>
        <v/>
      </c>
      <c r="L84" s="9">
        <f>'3_TF'!L84*'4_IDF'!$E84</f>
        <v/>
      </c>
      <c r="M84" s="9">
        <f>'3_TF'!M84*'4_IDF'!$E84</f>
        <v/>
      </c>
      <c r="O84" s="6">
        <f>A84</f>
        <v/>
      </c>
      <c r="P84" s="9">
        <f>IF(B$227=0,0,B84/B$227)</f>
        <v/>
      </c>
      <c r="Q84" s="9">
        <f>IF(C$227=0,0,C84/C$227)</f>
        <v/>
      </c>
      <c r="R84" s="9">
        <f>IF(D$227=0,0,D84/D$227)</f>
        <v/>
      </c>
      <c r="S84" s="9">
        <f>IF(E$227=0,0,E84/E$227)</f>
        <v/>
      </c>
      <c r="T84" s="9">
        <f>IF(F$227=0,0,F84/F$227)</f>
        <v/>
      </c>
      <c r="U84" s="9">
        <f>IF(G$227=0,0,G84/G$227)</f>
        <v/>
      </c>
      <c r="V84" s="9">
        <f>IF(H$227=0,0,H84/H$227)</f>
        <v/>
      </c>
      <c r="W84" s="9">
        <f>IF(I$227=0,0,I84/I$227)</f>
        <v/>
      </c>
      <c r="X84" s="9">
        <f>IF(J$227=0,0,J84/J$227)</f>
        <v/>
      </c>
      <c r="Y84" s="9">
        <f>IF(K$227=0,0,K84/K$227)</f>
        <v/>
      </c>
      <c r="Z84" s="9">
        <f>IF(L$227=0,0,L84/L$227)</f>
        <v/>
      </c>
      <c r="AA84" s="9">
        <f>IF(M$227=0,0,M84/M$227)</f>
        <v/>
      </c>
      <c r="AB84" s="9">
        <f>AVERAGE(P84,Q84,S84)</f>
        <v/>
      </c>
    </row>
    <row r="85">
      <c r="A85" s="6">
        <f>'3_TF'!A85</f>
        <v/>
      </c>
      <c r="B85" s="9">
        <f>'3_TF'!B85*'4_IDF'!$E85</f>
        <v/>
      </c>
      <c r="C85" s="9">
        <f>'3_TF'!C85*'4_IDF'!$E85</f>
        <v/>
      </c>
      <c r="D85" s="9">
        <f>'3_TF'!D85*'4_IDF'!$E85</f>
        <v/>
      </c>
      <c r="E85" s="9">
        <f>'3_TF'!E85*'4_IDF'!$E85</f>
        <v/>
      </c>
      <c r="F85" s="9">
        <f>'3_TF'!F85*'4_IDF'!$E85</f>
        <v/>
      </c>
      <c r="G85" s="9">
        <f>'3_TF'!G85*'4_IDF'!$E85</f>
        <v/>
      </c>
      <c r="H85" s="9">
        <f>'3_TF'!H85*'4_IDF'!$E85</f>
        <v/>
      </c>
      <c r="I85" s="9">
        <f>'3_TF'!I85*'4_IDF'!$E85</f>
        <v/>
      </c>
      <c r="J85" s="9">
        <f>'3_TF'!J85*'4_IDF'!$E85</f>
        <v/>
      </c>
      <c r="K85" s="9">
        <f>'3_TF'!K85*'4_IDF'!$E85</f>
        <v/>
      </c>
      <c r="L85" s="9">
        <f>'3_TF'!L85*'4_IDF'!$E85</f>
        <v/>
      </c>
      <c r="M85" s="9">
        <f>'3_TF'!M85*'4_IDF'!$E85</f>
        <v/>
      </c>
      <c r="O85" s="6">
        <f>A85</f>
        <v/>
      </c>
      <c r="P85" s="9">
        <f>IF(B$227=0,0,B85/B$227)</f>
        <v/>
      </c>
      <c r="Q85" s="9">
        <f>IF(C$227=0,0,C85/C$227)</f>
        <v/>
      </c>
      <c r="R85" s="9">
        <f>IF(D$227=0,0,D85/D$227)</f>
        <v/>
      </c>
      <c r="S85" s="9">
        <f>IF(E$227=0,0,E85/E$227)</f>
        <v/>
      </c>
      <c r="T85" s="9">
        <f>IF(F$227=0,0,F85/F$227)</f>
        <v/>
      </c>
      <c r="U85" s="9">
        <f>IF(G$227=0,0,G85/G$227)</f>
        <v/>
      </c>
      <c r="V85" s="9">
        <f>IF(H$227=0,0,H85/H$227)</f>
        <v/>
      </c>
      <c r="W85" s="9">
        <f>IF(I$227=0,0,I85/I$227)</f>
        <v/>
      </c>
      <c r="X85" s="9">
        <f>IF(J$227=0,0,J85/J$227)</f>
        <v/>
      </c>
      <c r="Y85" s="9">
        <f>IF(K$227=0,0,K85/K$227)</f>
        <v/>
      </c>
      <c r="Z85" s="9">
        <f>IF(L$227=0,0,L85/L$227)</f>
        <v/>
      </c>
      <c r="AA85" s="9">
        <f>IF(M$227=0,0,M85/M$227)</f>
        <v/>
      </c>
      <c r="AB85" s="9">
        <f>AVERAGE(P85,Q85,S85)</f>
        <v/>
      </c>
    </row>
    <row r="86">
      <c r="A86" s="6">
        <f>'3_TF'!A86</f>
        <v/>
      </c>
      <c r="B86" s="9">
        <f>'3_TF'!B86*'4_IDF'!$E86</f>
        <v/>
      </c>
      <c r="C86" s="9">
        <f>'3_TF'!C86*'4_IDF'!$E86</f>
        <v/>
      </c>
      <c r="D86" s="9">
        <f>'3_TF'!D86*'4_IDF'!$E86</f>
        <v/>
      </c>
      <c r="E86" s="9">
        <f>'3_TF'!E86*'4_IDF'!$E86</f>
        <v/>
      </c>
      <c r="F86" s="9">
        <f>'3_TF'!F86*'4_IDF'!$E86</f>
        <v/>
      </c>
      <c r="G86" s="9">
        <f>'3_TF'!G86*'4_IDF'!$E86</f>
        <v/>
      </c>
      <c r="H86" s="9">
        <f>'3_TF'!H86*'4_IDF'!$E86</f>
        <v/>
      </c>
      <c r="I86" s="9">
        <f>'3_TF'!I86*'4_IDF'!$E86</f>
        <v/>
      </c>
      <c r="J86" s="9">
        <f>'3_TF'!J86*'4_IDF'!$E86</f>
        <v/>
      </c>
      <c r="K86" s="9">
        <f>'3_TF'!K86*'4_IDF'!$E86</f>
        <v/>
      </c>
      <c r="L86" s="9">
        <f>'3_TF'!L86*'4_IDF'!$E86</f>
        <v/>
      </c>
      <c r="M86" s="9">
        <f>'3_TF'!M86*'4_IDF'!$E86</f>
        <v/>
      </c>
      <c r="O86" s="6">
        <f>A86</f>
        <v/>
      </c>
      <c r="P86" s="9">
        <f>IF(B$227=0,0,B86/B$227)</f>
        <v/>
      </c>
      <c r="Q86" s="9">
        <f>IF(C$227=0,0,C86/C$227)</f>
        <v/>
      </c>
      <c r="R86" s="9">
        <f>IF(D$227=0,0,D86/D$227)</f>
        <v/>
      </c>
      <c r="S86" s="9">
        <f>IF(E$227=0,0,E86/E$227)</f>
        <v/>
      </c>
      <c r="T86" s="9">
        <f>IF(F$227=0,0,F86/F$227)</f>
        <v/>
      </c>
      <c r="U86" s="9">
        <f>IF(G$227=0,0,G86/G$227)</f>
        <v/>
      </c>
      <c r="V86" s="9">
        <f>IF(H$227=0,0,H86/H$227)</f>
        <v/>
      </c>
      <c r="W86" s="9">
        <f>IF(I$227=0,0,I86/I$227)</f>
        <v/>
      </c>
      <c r="X86" s="9">
        <f>IF(J$227=0,0,J86/J$227)</f>
        <v/>
      </c>
      <c r="Y86" s="9">
        <f>IF(K$227=0,0,K86/K$227)</f>
        <v/>
      </c>
      <c r="Z86" s="9">
        <f>IF(L$227=0,0,L86/L$227)</f>
        <v/>
      </c>
      <c r="AA86" s="9">
        <f>IF(M$227=0,0,M86/M$227)</f>
        <v/>
      </c>
      <c r="AB86" s="9">
        <f>AVERAGE(P86,Q86,S86)</f>
        <v/>
      </c>
    </row>
    <row r="87">
      <c r="A87" s="6">
        <f>'3_TF'!A87</f>
        <v/>
      </c>
      <c r="B87" s="9">
        <f>'3_TF'!B87*'4_IDF'!$E87</f>
        <v/>
      </c>
      <c r="C87" s="9">
        <f>'3_TF'!C87*'4_IDF'!$E87</f>
        <v/>
      </c>
      <c r="D87" s="9">
        <f>'3_TF'!D87*'4_IDF'!$E87</f>
        <v/>
      </c>
      <c r="E87" s="9">
        <f>'3_TF'!E87*'4_IDF'!$E87</f>
        <v/>
      </c>
      <c r="F87" s="9">
        <f>'3_TF'!F87*'4_IDF'!$E87</f>
        <v/>
      </c>
      <c r="G87" s="9">
        <f>'3_TF'!G87*'4_IDF'!$E87</f>
        <v/>
      </c>
      <c r="H87" s="9">
        <f>'3_TF'!H87*'4_IDF'!$E87</f>
        <v/>
      </c>
      <c r="I87" s="9">
        <f>'3_TF'!I87*'4_IDF'!$E87</f>
        <v/>
      </c>
      <c r="J87" s="9">
        <f>'3_TF'!J87*'4_IDF'!$E87</f>
        <v/>
      </c>
      <c r="K87" s="9">
        <f>'3_TF'!K87*'4_IDF'!$E87</f>
        <v/>
      </c>
      <c r="L87" s="9">
        <f>'3_TF'!L87*'4_IDF'!$E87</f>
        <v/>
      </c>
      <c r="M87" s="9">
        <f>'3_TF'!M87*'4_IDF'!$E87</f>
        <v/>
      </c>
      <c r="O87" s="6">
        <f>A87</f>
        <v/>
      </c>
      <c r="P87" s="9">
        <f>IF(B$227=0,0,B87/B$227)</f>
        <v/>
      </c>
      <c r="Q87" s="9">
        <f>IF(C$227=0,0,C87/C$227)</f>
        <v/>
      </c>
      <c r="R87" s="9">
        <f>IF(D$227=0,0,D87/D$227)</f>
        <v/>
      </c>
      <c r="S87" s="9">
        <f>IF(E$227=0,0,E87/E$227)</f>
        <v/>
      </c>
      <c r="T87" s="9">
        <f>IF(F$227=0,0,F87/F$227)</f>
        <v/>
      </c>
      <c r="U87" s="9">
        <f>IF(G$227=0,0,G87/G$227)</f>
        <v/>
      </c>
      <c r="V87" s="9">
        <f>IF(H$227=0,0,H87/H$227)</f>
        <v/>
      </c>
      <c r="W87" s="9">
        <f>IF(I$227=0,0,I87/I$227)</f>
        <v/>
      </c>
      <c r="X87" s="9">
        <f>IF(J$227=0,0,J87/J$227)</f>
        <v/>
      </c>
      <c r="Y87" s="9">
        <f>IF(K$227=0,0,K87/K$227)</f>
        <v/>
      </c>
      <c r="Z87" s="9">
        <f>IF(L$227=0,0,L87/L$227)</f>
        <v/>
      </c>
      <c r="AA87" s="9">
        <f>IF(M$227=0,0,M87/M$227)</f>
        <v/>
      </c>
      <c r="AB87" s="9">
        <f>AVERAGE(P87,Q87,S87)</f>
        <v/>
      </c>
    </row>
    <row r="88">
      <c r="A88" s="6">
        <f>'3_TF'!A88</f>
        <v/>
      </c>
      <c r="B88" s="9">
        <f>'3_TF'!B88*'4_IDF'!$E88</f>
        <v/>
      </c>
      <c r="C88" s="9">
        <f>'3_TF'!C88*'4_IDF'!$E88</f>
        <v/>
      </c>
      <c r="D88" s="9">
        <f>'3_TF'!D88*'4_IDF'!$E88</f>
        <v/>
      </c>
      <c r="E88" s="9">
        <f>'3_TF'!E88*'4_IDF'!$E88</f>
        <v/>
      </c>
      <c r="F88" s="9">
        <f>'3_TF'!F88*'4_IDF'!$E88</f>
        <v/>
      </c>
      <c r="G88" s="9">
        <f>'3_TF'!G88*'4_IDF'!$E88</f>
        <v/>
      </c>
      <c r="H88" s="9">
        <f>'3_TF'!H88*'4_IDF'!$E88</f>
        <v/>
      </c>
      <c r="I88" s="9">
        <f>'3_TF'!I88*'4_IDF'!$E88</f>
        <v/>
      </c>
      <c r="J88" s="9">
        <f>'3_TF'!J88*'4_IDF'!$E88</f>
        <v/>
      </c>
      <c r="K88" s="9">
        <f>'3_TF'!K88*'4_IDF'!$E88</f>
        <v/>
      </c>
      <c r="L88" s="9">
        <f>'3_TF'!L88*'4_IDF'!$E88</f>
        <v/>
      </c>
      <c r="M88" s="9">
        <f>'3_TF'!M88*'4_IDF'!$E88</f>
        <v/>
      </c>
      <c r="O88" s="6">
        <f>A88</f>
        <v/>
      </c>
      <c r="P88" s="9">
        <f>IF(B$227=0,0,B88/B$227)</f>
        <v/>
      </c>
      <c r="Q88" s="9">
        <f>IF(C$227=0,0,C88/C$227)</f>
        <v/>
      </c>
      <c r="R88" s="9">
        <f>IF(D$227=0,0,D88/D$227)</f>
        <v/>
      </c>
      <c r="S88" s="9">
        <f>IF(E$227=0,0,E88/E$227)</f>
        <v/>
      </c>
      <c r="T88" s="9">
        <f>IF(F$227=0,0,F88/F$227)</f>
        <v/>
      </c>
      <c r="U88" s="9">
        <f>IF(G$227=0,0,G88/G$227)</f>
        <v/>
      </c>
      <c r="V88" s="9">
        <f>IF(H$227=0,0,H88/H$227)</f>
        <v/>
      </c>
      <c r="W88" s="9">
        <f>IF(I$227=0,0,I88/I$227)</f>
        <v/>
      </c>
      <c r="X88" s="9">
        <f>IF(J$227=0,0,J88/J$227)</f>
        <v/>
      </c>
      <c r="Y88" s="9">
        <f>IF(K$227=0,0,K88/K$227)</f>
        <v/>
      </c>
      <c r="Z88" s="9">
        <f>IF(L$227=0,0,L88/L$227)</f>
        <v/>
      </c>
      <c r="AA88" s="9">
        <f>IF(M$227=0,0,M88/M$227)</f>
        <v/>
      </c>
      <c r="AB88" s="9">
        <f>AVERAGE(P88,Q88,S88)</f>
        <v/>
      </c>
    </row>
    <row r="89">
      <c r="A89" s="6">
        <f>'3_TF'!A89</f>
        <v/>
      </c>
      <c r="B89" s="9">
        <f>'3_TF'!B89*'4_IDF'!$E89</f>
        <v/>
      </c>
      <c r="C89" s="9">
        <f>'3_TF'!C89*'4_IDF'!$E89</f>
        <v/>
      </c>
      <c r="D89" s="9">
        <f>'3_TF'!D89*'4_IDF'!$E89</f>
        <v/>
      </c>
      <c r="E89" s="9">
        <f>'3_TF'!E89*'4_IDF'!$E89</f>
        <v/>
      </c>
      <c r="F89" s="9">
        <f>'3_TF'!F89*'4_IDF'!$E89</f>
        <v/>
      </c>
      <c r="G89" s="9">
        <f>'3_TF'!G89*'4_IDF'!$E89</f>
        <v/>
      </c>
      <c r="H89" s="9">
        <f>'3_TF'!H89*'4_IDF'!$E89</f>
        <v/>
      </c>
      <c r="I89" s="9">
        <f>'3_TF'!I89*'4_IDF'!$E89</f>
        <v/>
      </c>
      <c r="J89" s="9">
        <f>'3_TF'!J89*'4_IDF'!$E89</f>
        <v/>
      </c>
      <c r="K89" s="9">
        <f>'3_TF'!K89*'4_IDF'!$E89</f>
        <v/>
      </c>
      <c r="L89" s="9">
        <f>'3_TF'!L89*'4_IDF'!$E89</f>
        <v/>
      </c>
      <c r="M89" s="9">
        <f>'3_TF'!M89*'4_IDF'!$E89</f>
        <v/>
      </c>
      <c r="O89" s="6">
        <f>A89</f>
        <v/>
      </c>
      <c r="P89" s="9">
        <f>IF(B$227=0,0,B89/B$227)</f>
        <v/>
      </c>
      <c r="Q89" s="9">
        <f>IF(C$227=0,0,C89/C$227)</f>
        <v/>
      </c>
      <c r="R89" s="9">
        <f>IF(D$227=0,0,D89/D$227)</f>
        <v/>
      </c>
      <c r="S89" s="9">
        <f>IF(E$227=0,0,E89/E$227)</f>
        <v/>
      </c>
      <c r="T89" s="9">
        <f>IF(F$227=0,0,F89/F$227)</f>
        <v/>
      </c>
      <c r="U89" s="9">
        <f>IF(G$227=0,0,G89/G$227)</f>
        <v/>
      </c>
      <c r="V89" s="9">
        <f>IF(H$227=0,0,H89/H$227)</f>
        <v/>
      </c>
      <c r="W89" s="9">
        <f>IF(I$227=0,0,I89/I$227)</f>
        <v/>
      </c>
      <c r="X89" s="9">
        <f>IF(J$227=0,0,J89/J$227)</f>
        <v/>
      </c>
      <c r="Y89" s="9">
        <f>IF(K$227=0,0,K89/K$227)</f>
        <v/>
      </c>
      <c r="Z89" s="9">
        <f>IF(L$227=0,0,L89/L$227)</f>
        <v/>
      </c>
      <c r="AA89" s="9">
        <f>IF(M$227=0,0,M89/M$227)</f>
        <v/>
      </c>
      <c r="AB89" s="9">
        <f>AVERAGE(P89,Q89,S89)</f>
        <v/>
      </c>
    </row>
    <row r="90">
      <c r="A90" s="6">
        <f>'3_TF'!A90</f>
        <v/>
      </c>
      <c r="B90" s="9">
        <f>'3_TF'!B90*'4_IDF'!$E90</f>
        <v/>
      </c>
      <c r="C90" s="9">
        <f>'3_TF'!C90*'4_IDF'!$E90</f>
        <v/>
      </c>
      <c r="D90" s="9">
        <f>'3_TF'!D90*'4_IDF'!$E90</f>
        <v/>
      </c>
      <c r="E90" s="9">
        <f>'3_TF'!E90*'4_IDF'!$E90</f>
        <v/>
      </c>
      <c r="F90" s="9">
        <f>'3_TF'!F90*'4_IDF'!$E90</f>
        <v/>
      </c>
      <c r="G90" s="9">
        <f>'3_TF'!G90*'4_IDF'!$E90</f>
        <v/>
      </c>
      <c r="H90" s="9">
        <f>'3_TF'!H90*'4_IDF'!$E90</f>
        <v/>
      </c>
      <c r="I90" s="9">
        <f>'3_TF'!I90*'4_IDF'!$E90</f>
        <v/>
      </c>
      <c r="J90" s="9">
        <f>'3_TF'!J90*'4_IDF'!$E90</f>
        <v/>
      </c>
      <c r="K90" s="9">
        <f>'3_TF'!K90*'4_IDF'!$E90</f>
        <v/>
      </c>
      <c r="L90" s="9">
        <f>'3_TF'!L90*'4_IDF'!$E90</f>
        <v/>
      </c>
      <c r="M90" s="9">
        <f>'3_TF'!M90*'4_IDF'!$E90</f>
        <v/>
      </c>
      <c r="O90" s="6">
        <f>A90</f>
        <v/>
      </c>
      <c r="P90" s="9">
        <f>IF(B$227=0,0,B90/B$227)</f>
        <v/>
      </c>
      <c r="Q90" s="9">
        <f>IF(C$227=0,0,C90/C$227)</f>
        <v/>
      </c>
      <c r="R90" s="9">
        <f>IF(D$227=0,0,D90/D$227)</f>
        <v/>
      </c>
      <c r="S90" s="9">
        <f>IF(E$227=0,0,E90/E$227)</f>
        <v/>
      </c>
      <c r="T90" s="9">
        <f>IF(F$227=0,0,F90/F$227)</f>
        <v/>
      </c>
      <c r="U90" s="9">
        <f>IF(G$227=0,0,G90/G$227)</f>
        <v/>
      </c>
      <c r="V90" s="9">
        <f>IF(H$227=0,0,H90/H$227)</f>
        <v/>
      </c>
      <c r="W90" s="9">
        <f>IF(I$227=0,0,I90/I$227)</f>
        <v/>
      </c>
      <c r="X90" s="9">
        <f>IF(J$227=0,0,J90/J$227)</f>
        <v/>
      </c>
      <c r="Y90" s="9">
        <f>IF(K$227=0,0,K90/K$227)</f>
        <v/>
      </c>
      <c r="Z90" s="9">
        <f>IF(L$227=0,0,L90/L$227)</f>
        <v/>
      </c>
      <c r="AA90" s="9">
        <f>IF(M$227=0,0,M90/M$227)</f>
        <v/>
      </c>
      <c r="AB90" s="9">
        <f>AVERAGE(P90,Q90,S90)</f>
        <v/>
      </c>
    </row>
    <row r="91">
      <c r="A91" s="6">
        <f>'3_TF'!A91</f>
        <v/>
      </c>
      <c r="B91" s="9">
        <f>'3_TF'!B91*'4_IDF'!$E91</f>
        <v/>
      </c>
      <c r="C91" s="9">
        <f>'3_TF'!C91*'4_IDF'!$E91</f>
        <v/>
      </c>
      <c r="D91" s="9">
        <f>'3_TF'!D91*'4_IDF'!$E91</f>
        <v/>
      </c>
      <c r="E91" s="9">
        <f>'3_TF'!E91*'4_IDF'!$E91</f>
        <v/>
      </c>
      <c r="F91" s="9">
        <f>'3_TF'!F91*'4_IDF'!$E91</f>
        <v/>
      </c>
      <c r="G91" s="9">
        <f>'3_TF'!G91*'4_IDF'!$E91</f>
        <v/>
      </c>
      <c r="H91" s="9">
        <f>'3_TF'!H91*'4_IDF'!$E91</f>
        <v/>
      </c>
      <c r="I91" s="9">
        <f>'3_TF'!I91*'4_IDF'!$E91</f>
        <v/>
      </c>
      <c r="J91" s="9">
        <f>'3_TF'!J91*'4_IDF'!$E91</f>
        <v/>
      </c>
      <c r="K91" s="9">
        <f>'3_TF'!K91*'4_IDF'!$E91</f>
        <v/>
      </c>
      <c r="L91" s="9">
        <f>'3_TF'!L91*'4_IDF'!$E91</f>
        <v/>
      </c>
      <c r="M91" s="9">
        <f>'3_TF'!M91*'4_IDF'!$E91</f>
        <v/>
      </c>
      <c r="O91" s="6">
        <f>A91</f>
        <v/>
      </c>
      <c r="P91" s="9">
        <f>IF(B$227=0,0,B91/B$227)</f>
        <v/>
      </c>
      <c r="Q91" s="9">
        <f>IF(C$227=0,0,C91/C$227)</f>
        <v/>
      </c>
      <c r="R91" s="9">
        <f>IF(D$227=0,0,D91/D$227)</f>
        <v/>
      </c>
      <c r="S91" s="9">
        <f>IF(E$227=0,0,E91/E$227)</f>
        <v/>
      </c>
      <c r="T91" s="9">
        <f>IF(F$227=0,0,F91/F$227)</f>
        <v/>
      </c>
      <c r="U91" s="9">
        <f>IF(G$227=0,0,G91/G$227)</f>
        <v/>
      </c>
      <c r="V91" s="9">
        <f>IF(H$227=0,0,H91/H$227)</f>
        <v/>
      </c>
      <c r="W91" s="9">
        <f>IF(I$227=0,0,I91/I$227)</f>
        <v/>
      </c>
      <c r="X91" s="9">
        <f>IF(J$227=0,0,J91/J$227)</f>
        <v/>
      </c>
      <c r="Y91" s="9">
        <f>IF(K$227=0,0,K91/K$227)</f>
        <v/>
      </c>
      <c r="Z91" s="9">
        <f>IF(L$227=0,0,L91/L$227)</f>
        <v/>
      </c>
      <c r="AA91" s="9">
        <f>IF(M$227=0,0,M91/M$227)</f>
        <v/>
      </c>
      <c r="AB91" s="9">
        <f>AVERAGE(P91,Q91,S91)</f>
        <v/>
      </c>
    </row>
    <row r="92">
      <c r="A92" s="6">
        <f>'3_TF'!A92</f>
        <v/>
      </c>
      <c r="B92" s="9">
        <f>'3_TF'!B92*'4_IDF'!$E92</f>
        <v/>
      </c>
      <c r="C92" s="9">
        <f>'3_TF'!C92*'4_IDF'!$E92</f>
        <v/>
      </c>
      <c r="D92" s="9">
        <f>'3_TF'!D92*'4_IDF'!$E92</f>
        <v/>
      </c>
      <c r="E92" s="9">
        <f>'3_TF'!E92*'4_IDF'!$E92</f>
        <v/>
      </c>
      <c r="F92" s="9">
        <f>'3_TF'!F92*'4_IDF'!$E92</f>
        <v/>
      </c>
      <c r="G92" s="9">
        <f>'3_TF'!G92*'4_IDF'!$E92</f>
        <v/>
      </c>
      <c r="H92" s="9">
        <f>'3_TF'!H92*'4_IDF'!$E92</f>
        <v/>
      </c>
      <c r="I92" s="9">
        <f>'3_TF'!I92*'4_IDF'!$E92</f>
        <v/>
      </c>
      <c r="J92" s="9">
        <f>'3_TF'!J92*'4_IDF'!$E92</f>
        <v/>
      </c>
      <c r="K92" s="9">
        <f>'3_TF'!K92*'4_IDF'!$E92</f>
        <v/>
      </c>
      <c r="L92" s="9">
        <f>'3_TF'!L92*'4_IDF'!$E92</f>
        <v/>
      </c>
      <c r="M92" s="9">
        <f>'3_TF'!M92*'4_IDF'!$E92</f>
        <v/>
      </c>
      <c r="O92" s="6">
        <f>A92</f>
        <v/>
      </c>
      <c r="P92" s="9">
        <f>IF(B$227=0,0,B92/B$227)</f>
        <v/>
      </c>
      <c r="Q92" s="9">
        <f>IF(C$227=0,0,C92/C$227)</f>
        <v/>
      </c>
      <c r="R92" s="9">
        <f>IF(D$227=0,0,D92/D$227)</f>
        <v/>
      </c>
      <c r="S92" s="9">
        <f>IF(E$227=0,0,E92/E$227)</f>
        <v/>
      </c>
      <c r="T92" s="9">
        <f>IF(F$227=0,0,F92/F$227)</f>
        <v/>
      </c>
      <c r="U92" s="9">
        <f>IF(G$227=0,0,G92/G$227)</f>
        <v/>
      </c>
      <c r="V92" s="9">
        <f>IF(H$227=0,0,H92/H$227)</f>
        <v/>
      </c>
      <c r="W92" s="9">
        <f>IF(I$227=0,0,I92/I$227)</f>
        <v/>
      </c>
      <c r="X92" s="9">
        <f>IF(J$227=0,0,J92/J$227)</f>
        <v/>
      </c>
      <c r="Y92" s="9">
        <f>IF(K$227=0,0,K92/K$227)</f>
        <v/>
      </c>
      <c r="Z92" s="9">
        <f>IF(L$227=0,0,L92/L$227)</f>
        <v/>
      </c>
      <c r="AA92" s="9">
        <f>IF(M$227=0,0,M92/M$227)</f>
        <v/>
      </c>
      <c r="AB92" s="9">
        <f>AVERAGE(P92,Q92,S92)</f>
        <v/>
      </c>
    </row>
    <row r="93">
      <c r="A93" s="6">
        <f>'3_TF'!A93</f>
        <v/>
      </c>
      <c r="B93" s="9">
        <f>'3_TF'!B93*'4_IDF'!$E93</f>
        <v/>
      </c>
      <c r="C93" s="9">
        <f>'3_TF'!C93*'4_IDF'!$E93</f>
        <v/>
      </c>
      <c r="D93" s="9">
        <f>'3_TF'!D93*'4_IDF'!$E93</f>
        <v/>
      </c>
      <c r="E93" s="9">
        <f>'3_TF'!E93*'4_IDF'!$E93</f>
        <v/>
      </c>
      <c r="F93" s="9">
        <f>'3_TF'!F93*'4_IDF'!$E93</f>
        <v/>
      </c>
      <c r="G93" s="9">
        <f>'3_TF'!G93*'4_IDF'!$E93</f>
        <v/>
      </c>
      <c r="H93" s="9">
        <f>'3_TF'!H93*'4_IDF'!$E93</f>
        <v/>
      </c>
      <c r="I93" s="9">
        <f>'3_TF'!I93*'4_IDF'!$E93</f>
        <v/>
      </c>
      <c r="J93" s="9">
        <f>'3_TF'!J93*'4_IDF'!$E93</f>
        <v/>
      </c>
      <c r="K93" s="9">
        <f>'3_TF'!K93*'4_IDF'!$E93</f>
        <v/>
      </c>
      <c r="L93" s="9">
        <f>'3_TF'!L93*'4_IDF'!$E93</f>
        <v/>
      </c>
      <c r="M93" s="9">
        <f>'3_TF'!M93*'4_IDF'!$E93</f>
        <v/>
      </c>
      <c r="O93" s="6">
        <f>A93</f>
        <v/>
      </c>
      <c r="P93" s="9">
        <f>IF(B$227=0,0,B93/B$227)</f>
        <v/>
      </c>
      <c r="Q93" s="9">
        <f>IF(C$227=0,0,C93/C$227)</f>
        <v/>
      </c>
      <c r="R93" s="9">
        <f>IF(D$227=0,0,D93/D$227)</f>
        <v/>
      </c>
      <c r="S93" s="9">
        <f>IF(E$227=0,0,E93/E$227)</f>
        <v/>
      </c>
      <c r="T93" s="9">
        <f>IF(F$227=0,0,F93/F$227)</f>
        <v/>
      </c>
      <c r="U93" s="9">
        <f>IF(G$227=0,0,G93/G$227)</f>
        <v/>
      </c>
      <c r="V93" s="9">
        <f>IF(H$227=0,0,H93/H$227)</f>
        <v/>
      </c>
      <c r="W93" s="9">
        <f>IF(I$227=0,0,I93/I$227)</f>
        <v/>
      </c>
      <c r="X93" s="9">
        <f>IF(J$227=0,0,J93/J$227)</f>
        <v/>
      </c>
      <c r="Y93" s="9">
        <f>IF(K$227=0,0,K93/K$227)</f>
        <v/>
      </c>
      <c r="Z93" s="9">
        <f>IF(L$227=0,0,L93/L$227)</f>
        <v/>
      </c>
      <c r="AA93" s="9">
        <f>IF(M$227=0,0,M93/M$227)</f>
        <v/>
      </c>
      <c r="AB93" s="9">
        <f>AVERAGE(P93,Q93,S93)</f>
        <v/>
      </c>
    </row>
    <row r="94">
      <c r="A94" s="6">
        <f>'3_TF'!A94</f>
        <v/>
      </c>
      <c r="B94" s="9">
        <f>'3_TF'!B94*'4_IDF'!$E94</f>
        <v/>
      </c>
      <c r="C94" s="9">
        <f>'3_TF'!C94*'4_IDF'!$E94</f>
        <v/>
      </c>
      <c r="D94" s="9">
        <f>'3_TF'!D94*'4_IDF'!$E94</f>
        <v/>
      </c>
      <c r="E94" s="9">
        <f>'3_TF'!E94*'4_IDF'!$E94</f>
        <v/>
      </c>
      <c r="F94" s="9">
        <f>'3_TF'!F94*'4_IDF'!$E94</f>
        <v/>
      </c>
      <c r="G94" s="9">
        <f>'3_TF'!G94*'4_IDF'!$E94</f>
        <v/>
      </c>
      <c r="H94" s="9">
        <f>'3_TF'!H94*'4_IDF'!$E94</f>
        <v/>
      </c>
      <c r="I94" s="9">
        <f>'3_TF'!I94*'4_IDF'!$E94</f>
        <v/>
      </c>
      <c r="J94" s="9">
        <f>'3_TF'!J94*'4_IDF'!$E94</f>
        <v/>
      </c>
      <c r="K94" s="9">
        <f>'3_TF'!K94*'4_IDF'!$E94</f>
        <v/>
      </c>
      <c r="L94" s="9">
        <f>'3_TF'!L94*'4_IDF'!$E94</f>
        <v/>
      </c>
      <c r="M94" s="9">
        <f>'3_TF'!M94*'4_IDF'!$E94</f>
        <v/>
      </c>
      <c r="O94" s="6">
        <f>A94</f>
        <v/>
      </c>
      <c r="P94" s="9">
        <f>IF(B$227=0,0,B94/B$227)</f>
        <v/>
      </c>
      <c r="Q94" s="9">
        <f>IF(C$227=0,0,C94/C$227)</f>
        <v/>
      </c>
      <c r="R94" s="9">
        <f>IF(D$227=0,0,D94/D$227)</f>
        <v/>
      </c>
      <c r="S94" s="9">
        <f>IF(E$227=0,0,E94/E$227)</f>
        <v/>
      </c>
      <c r="T94" s="9">
        <f>IF(F$227=0,0,F94/F$227)</f>
        <v/>
      </c>
      <c r="U94" s="9">
        <f>IF(G$227=0,0,G94/G$227)</f>
        <v/>
      </c>
      <c r="V94" s="9">
        <f>IF(H$227=0,0,H94/H$227)</f>
        <v/>
      </c>
      <c r="W94" s="9">
        <f>IF(I$227=0,0,I94/I$227)</f>
        <v/>
      </c>
      <c r="X94" s="9">
        <f>IF(J$227=0,0,J94/J$227)</f>
        <v/>
      </c>
      <c r="Y94" s="9">
        <f>IF(K$227=0,0,K94/K$227)</f>
        <v/>
      </c>
      <c r="Z94" s="9">
        <f>IF(L$227=0,0,L94/L$227)</f>
        <v/>
      </c>
      <c r="AA94" s="9">
        <f>IF(M$227=0,0,M94/M$227)</f>
        <v/>
      </c>
      <c r="AB94" s="9">
        <f>AVERAGE(P94,Q94,S94)</f>
        <v/>
      </c>
    </row>
    <row r="95">
      <c r="A95" s="6">
        <f>'3_TF'!A95</f>
        <v/>
      </c>
      <c r="B95" s="9">
        <f>'3_TF'!B95*'4_IDF'!$E95</f>
        <v/>
      </c>
      <c r="C95" s="9">
        <f>'3_TF'!C95*'4_IDF'!$E95</f>
        <v/>
      </c>
      <c r="D95" s="9">
        <f>'3_TF'!D95*'4_IDF'!$E95</f>
        <v/>
      </c>
      <c r="E95" s="9">
        <f>'3_TF'!E95*'4_IDF'!$E95</f>
        <v/>
      </c>
      <c r="F95" s="9">
        <f>'3_TF'!F95*'4_IDF'!$E95</f>
        <v/>
      </c>
      <c r="G95" s="9">
        <f>'3_TF'!G95*'4_IDF'!$E95</f>
        <v/>
      </c>
      <c r="H95" s="9">
        <f>'3_TF'!H95*'4_IDF'!$E95</f>
        <v/>
      </c>
      <c r="I95" s="9">
        <f>'3_TF'!I95*'4_IDF'!$E95</f>
        <v/>
      </c>
      <c r="J95" s="9">
        <f>'3_TF'!J95*'4_IDF'!$E95</f>
        <v/>
      </c>
      <c r="K95" s="9">
        <f>'3_TF'!K95*'4_IDF'!$E95</f>
        <v/>
      </c>
      <c r="L95" s="9">
        <f>'3_TF'!L95*'4_IDF'!$E95</f>
        <v/>
      </c>
      <c r="M95" s="9">
        <f>'3_TF'!M95*'4_IDF'!$E95</f>
        <v/>
      </c>
      <c r="O95" s="6">
        <f>A95</f>
        <v/>
      </c>
      <c r="P95" s="9">
        <f>IF(B$227=0,0,B95/B$227)</f>
        <v/>
      </c>
      <c r="Q95" s="9">
        <f>IF(C$227=0,0,C95/C$227)</f>
        <v/>
      </c>
      <c r="R95" s="9">
        <f>IF(D$227=0,0,D95/D$227)</f>
        <v/>
      </c>
      <c r="S95" s="9">
        <f>IF(E$227=0,0,E95/E$227)</f>
        <v/>
      </c>
      <c r="T95" s="9">
        <f>IF(F$227=0,0,F95/F$227)</f>
        <v/>
      </c>
      <c r="U95" s="9">
        <f>IF(G$227=0,0,G95/G$227)</f>
        <v/>
      </c>
      <c r="V95" s="9">
        <f>IF(H$227=0,0,H95/H$227)</f>
        <v/>
      </c>
      <c r="W95" s="9">
        <f>IF(I$227=0,0,I95/I$227)</f>
        <v/>
      </c>
      <c r="X95" s="9">
        <f>IF(J$227=0,0,J95/J$227)</f>
        <v/>
      </c>
      <c r="Y95" s="9">
        <f>IF(K$227=0,0,K95/K$227)</f>
        <v/>
      </c>
      <c r="Z95" s="9">
        <f>IF(L$227=0,0,L95/L$227)</f>
        <v/>
      </c>
      <c r="AA95" s="9">
        <f>IF(M$227=0,0,M95/M$227)</f>
        <v/>
      </c>
      <c r="AB95" s="9">
        <f>AVERAGE(P95,Q95,S95)</f>
        <v/>
      </c>
    </row>
    <row r="96">
      <c r="A96" s="6">
        <f>'3_TF'!A96</f>
        <v/>
      </c>
      <c r="B96" s="9">
        <f>'3_TF'!B96*'4_IDF'!$E96</f>
        <v/>
      </c>
      <c r="C96" s="9">
        <f>'3_TF'!C96*'4_IDF'!$E96</f>
        <v/>
      </c>
      <c r="D96" s="9">
        <f>'3_TF'!D96*'4_IDF'!$E96</f>
        <v/>
      </c>
      <c r="E96" s="9">
        <f>'3_TF'!E96*'4_IDF'!$E96</f>
        <v/>
      </c>
      <c r="F96" s="9">
        <f>'3_TF'!F96*'4_IDF'!$E96</f>
        <v/>
      </c>
      <c r="G96" s="9">
        <f>'3_TF'!G96*'4_IDF'!$E96</f>
        <v/>
      </c>
      <c r="H96" s="9">
        <f>'3_TF'!H96*'4_IDF'!$E96</f>
        <v/>
      </c>
      <c r="I96" s="9">
        <f>'3_TF'!I96*'4_IDF'!$E96</f>
        <v/>
      </c>
      <c r="J96" s="9">
        <f>'3_TF'!J96*'4_IDF'!$E96</f>
        <v/>
      </c>
      <c r="K96" s="9">
        <f>'3_TF'!K96*'4_IDF'!$E96</f>
        <v/>
      </c>
      <c r="L96" s="9">
        <f>'3_TF'!L96*'4_IDF'!$E96</f>
        <v/>
      </c>
      <c r="M96" s="9">
        <f>'3_TF'!M96*'4_IDF'!$E96</f>
        <v/>
      </c>
      <c r="O96" s="6">
        <f>A96</f>
        <v/>
      </c>
      <c r="P96" s="9">
        <f>IF(B$227=0,0,B96/B$227)</f>
        <v/>
      </c>
      <c r="Q96" s="9">
        <f>IF(C$227=0,0,C96/C$227)</f>
        <v/>
      </c>
      <c r="R96" s="9">
        <f>IF(D$227=0,0,D96/D$227)</f>
        <v/>
      </c>
      <c r="S96" s="9">
        <f>IF(E$227=0,0,E96/E$227)</f>
        <v/>
      </c>
      <c r="T96" s="9">
        <f>IF(F$227=0,0,F96/F$227)</f>
        <v/>
      </c>
      <c r="U96" s="9">
        <f>IF(G$227=0,0,G96/G$227)</f>
        <v/>
      </c>
      <c r="V96" s="9">
        <f>IF(H$227=0,0,H96/H$227)</f>
        <v/>
      </c>
      <c r="W96" s="9">
        <f>IF(I$227=0,0,I96/I$227)</f>
        <v/>
      </c>
      <c r="X96" s="9">
        <f>IF(J$227=0,0,J96/J$227)</f>
        <v/>
      </c>
      <c r="Y96" s="9">
        <f>IF(K$227=0,0,K96/K$227)</f>
        <v/>
      </c>
      <c r="Z96" s="9">
        <f>IF(L$227=0,0,L96/L$227)</f>
        <v/>
      </c>
      <c r="AA96" s="9">
        <f>IF(M$227=0,0,M96/M$227)</f>
        <v/>
      </c>
      <c r="AB96" s="9">
        <f>AVERAGE(P96,Q96,S96)</f>
        <v/>
      </c>
    </row>
    <row r="97">
      <c r="A97" s="6">
        <f>'3_TF'!A97</f>
        <v/>
      </c>
      <c r="B97" s="9">
        <f>'3_TF'!B97*'4_IDF'!$E97</f>
        <v/>
      </c>
      <c r="C97" s="9">
        <f>'3_TF'!C97*'4_IDF'!$E97</f>
        <v/>
      </c>
      <c r="D97" s="9">
        <f>'3_TF'!D97*'4_IDF'!$E97</f>
        <v/>
      </c>
      <c r="E97" s="9">
        <f>'3_TF'!E97*'4_IDF'!$E97</f>
        <v/>
      </c>
      <c r="F97" s="9">
        <f>'3_TF'!F97*'4_IDF'!$E97</f>
        <v/>
      </c>
      <c r="G97" s="9">
        <f>'3_TF'!G97*'4_IDF'!$E97</f>
        <v/>
      </c>
      <c r="H97" s="9">
        <f>'3_TF'!H97*'4_IDF'!$E97</f>
        <v/>
      </c>
      <c r="I97" s="9">
        <f>'3_TF'!I97*'4_IDF'!$E97</f>
        <v/>
      </c>
      <c r="J97" s="9">
        <f>'3_TF'!J97*'4_IDF'!$E97</f>
        <v/>
      </c>
      <c r="K97" s="9">
        <f>'3_TF'!K97*'4_IDF'!$E97</f>
        <v/>
      </c>
      <c r="L97" s="9">
        <f>'3_TF'!L97*'4_IDF'!$E97</f>
        <v/>
      </c>
      <c r="M97" s="9">
        <f>'3_TF'!M97*'4_IDF'!$E97</f>
        <v/>
      </c>
      <c r="O97" s="6">
        <f>A97</f>
        <v/>
      </c>
      <c r="P97" s="9">
        <f>IF(B$227=0,0,B97/B$227)</f>
        <v/>
      </c>
      <c r="Q97" s="9">
        <f>IF(C$227=0,0,C97/C$227)</f>
        <v/>
      </c>
      <c r="R97" s="9">
        <f>IF(D$227=0,0,D97/D$227)</f>
        <v/>
      </c>
      <c r="S97" s="9">
        <f>IF(E$227=0,0,E97/E$227)</f>
        <v/>
      </c>
      <c r="T97" s="9">
        <f>IF(F$227=0,0,F97/F$227)</f>
        <v/>
      </c>
      <c r="U97" s="9">
        <f>IF(G$227=0,0,G97/G$227)</f>
        <v/>
      </c>
      <c r="V97" s="9">
        <f>IF(H$227=0,0,H97/H$227)</f>
        <v/>
      </c>
      <c r="W97" s="9">
        <f>IF(I$227=0,0,I97/I$227)</f>
        <v/>
      </c>
      <c r="X97" s="9">
        <f>IF(J$227=0,0,J97/J$227)</f>
        <v/>
      </c>
      <c r="Y97" s="9">
        <f>IF(K$227=0,0,K97/K$227)</f>
        <v/>
      </c>
      <c r="Z97" s="9">
        <f>IF(L$227=0,0,L97/L$227)</f>
        <v/>
      </c>
      <c r="AA97" s="9">
        <f>IF(M$227=0,0,M97/M$227)</f>
        <v/>
      </c>
      <c r="AB97" s="9">
        <f>AVERAGE(P97,Q97,S97)</f>
        <v/>
      </c>
    </row>
    <row r="98">
      <c r="A98" s="6">
        <f>'3_TF'!A98</f>
        <v/>
      </c>
      <c r="B98" s="9">
        <f>'3_TF'!B98*'4_IDF'!$E98</f>
        <v/>
      </c>
      <c r="C98" s="9">
        <f>'3_TF'!C98*'4_IDF'!$E98</f>
        <v/>
      </c>
      <c r="D98" s="9">
        <f>'3_TF'!D98*'4_IDF'!$E98</f>
        <v/>
      </c>
      <c r="E98" s="9">
        <f>'3_TF'!E98*'4_IDF'!$E98</f>
        <v/>
      </c>
      <c r="F98" s="9">
        <f>'3_TF'!F98*'4_IDF'!$E98</f>
        <v/>
      </c>
      <c r="G98" s="9">
        <f>'3_TF'!G98*'4_IDF'!$E98</f>
        <v/>
      </c>
      <c r="H98" s="9">
        <f>'3_TF'!H98*'4_IDF'!$E98</f>
        <v/>
      </c>
      <c r="I98" s="9">
        <f>'3_TF'!I98*'4_IDF'!$E98</f>
        <v/>
      </c>
      <c r="J98" s="9">
        <f>'3_TF'!J98*'4_IDF'!$E98</f>
        <v/>
      </c>
      <c r="K98" s="9">
        <f>'3_TF'!K98*'4_IDF'!$E98</f>
        <v/>
      </c>
      <c r="L98" s="9">
        <f>'3_TF'!L98*'4_IDF'!$E98</f>
        <v/>
      </c>
      <c r="M98" s="9">
        <f>'3_TF'!M98*'4_IDF'!$E98</f>
        <v/>
      </c>
      <c r="O98" s="6">
        <f>A98</f>
        <v/>
      </c>
      <c r="P98" s="9">
        <f>IF(B$227=0,0,B98/B$227)</f>
        <v/>
      </c>
      <c r="Q98" s="9">
        <f>IF(C$227=0,0,C98/C$227)</f>
        <v/>
      </c>
      <c r="R98" s="9">
        <f>IF(D$227=0,0,D98/D$227)</f>
        <v/>
      </c>
      <c r="S98" s="9">
        <f>IF(E$227=0,0,E98/E$227)</f>
        <v/>
      </c>
      <c r="T98" s="9">
        <f>IF(F$227=0,0,F98/F$227)</f>
        <v/>
      </c>
      <c r="U98" s="9">
        <f>IF(G$227=0,0,G98/G$227)</f>
        <v/>
      </c>
      <c r="V98" s="9">
        <f>IF(H$227=0,0,H98/H$227)</f>
        <v/>
      </c>
      <c r="W98" s="9">
        <f>IF(I$227=0,0,I98/I$227)</f>
        <v/>
      </c>
      <c r="X98" s="9">
        <f>IF(J$227=0,0,J98/J$227)</f>
        <v/>
      </c>
      <c r="Y98" s="9">
        <f>IF(K$227=0,0,K98/K$227)</f>
        <v/>
      </c>
      <c r="Z98" s="9">
        <f>IF(L$227=0,0,L98/L$227)</f>
        <v/>
      </c>
      <c r="AA98" s="9">
        <f>IF(M$227=0,0,M98/M$227)</f>
        <v/>
      </c>
      <c r="AB98" s="9">
        <f>AVERAGE(P98,Q98,S98)</f>
        <v/>
      </c>
    </row>
    <row r="99">
      <c r="A99" s="6">
        <f>'3_TF'!A99</f>
        <v/>
      </c>
      <c r="B99" s="9">
        <f>'3_TF'!B99*'4_IDF'!$E99</f>
        <v/>
      </c>
      <c r="C99" s="9">
        <f>'3_TF'!C99*'4_IDF'!$E99</f>
        <v/>
      </c>
      <c r="D99" s="9">
        <f>'3_TF'!D99*'4_IDF'!$E99</f>
        <v/>
      </c>
      <c r="E99" s="9">
        <f>'3_TF'!E99*'4_IDF'!$E99</f>
        <v/>
      </c>
      <c r="F99" s="9">
        <f>'3_TF'!F99*'4_IDF'!$E99</f>
        <v/>
      </c>
      <c r="G99" s="9">
        <f>'3_TF'!G99*'4_IDF'!$E99</f>
        <v/>
      </c>
      <c r="H99" s="9">
        <f>'3_TF'!H99*'4_IDF'!$E99</f>
        <v/>
      </c>
      <c r="I99" s="9">
        <f>'3_TF'!I99*'4_IDF'!$E99</f>
        <v/>
      </c>
      <c r="J99" s="9">
        <f>'3_TF'!J99*'4_IDF'!$E99</f>
        <v/>
      </c>
      <c r="K99" s="9">
        <f>'3_TF'!K99*'4_IDF'!$E99</f>
        <v/>
      </c>
      <c r="L99" s="9">
        <f>'3_TF'!L99*'4_IDF'!$E99</f>
        <v/>
      </c>
      <c r="M99" s="9">
        <f>'3_TF'!M99*'4_IDF'!$E99</f>
        <v/>
      </c>
      <c r="O99" s="6">
        <f>A99</f>
        <v/>
      </c>
      <c r="P99" s="9">
        <f>IF(B$227=0,0,B99/B$227)</f>
        <v/>
      </c>
      <c r="Q99" s="9">
        <f>IF(C$227=0,0,C99/C$227)</f>
        <v/>
      </c>
      <c r="R99" s="9">
        <f>IF(D$227=0,0,D99/D$227)</f>
        <v/>
      </c>
      <c r="S99" s="9">
        <f>IF(E$227=0,0,E99/E$227)</f>
        <v/>
      </c>
      <c r="T99" s="9">
        <f>IF(F$227=0,0,F99/F$227)</f>
        <v/>
      </c>
      <c r="U99" s="9">
        <f>IF(G$227=0,0,G99/G$227)</f>
        <v/>
      </c>
      <c r="V99" s="9">
        <f>IF(H$227=0,0,H99/H$227)</f>
        <v/>
      </c>
      <c r="W99" s="9">
        <f>IF(I$227=0,0,I99/I$227)</f>
        <v/>
      </c>
      <c r="X99" s="9">
        <f>IF(J$227=0,0,J99/J$227)</f>
        <v/>
      </c>
      <c r="Y99" s="9">
        <f>IF(K$227=0,0,K99/K$227)</f>
        <v/>
      </c>
      <c r="Z99" s="9">
        <f>IF(L$227=0,0,L99/L$227)</f>
        <v/>
      </c>
      <c r="AA99" s="9">
        <f>IF(M$227=0,0,M99/M$227)</f>
        <v/>
      </c>
      <c r="AB99" s="9">
        <f>AVERAGE(P99,Q99,S99)</f>
        <v/>
      </c>
    </row>
    <row r="100">
      <c r="A100" s="6">
        <f>'3_TF'!A100</f>
        <v/>
      </c>
      <c r="B100" s="9">
        <f>'3_TF'!B100*'4_IDF'!$E100</f>
        <v/>
      </c>
      <c r="C100" s="9">
        <f>'3_TF'!C100*'4_IDF'!$E100</f>
        <v/>
      </c>
      <c r="D100" s="9">
        <f>'3_TF'!D100*'4_IDF'!$E100</f>
        <v/>
      </c>
      <c r="E100" s="9">
        <f>'3_TF'!E100*'4_IDF'!$E100</f>
        <v/>
      </c>
      <c r="F100" s="9">
        <f>'3_TF'!F100*'4_IDF'!$E100</f>
        <v/>
      </c>
      <c r="G100" s="9">
        <f>'3_TF'!G100*'4_IDF'!$E100</f>
        <v/>
      </c>
      <c r="H100" s="9">
        <f>'3_TF'!H100*'4_IDF'!$E100</f>
        <v/>
      </c>
      <c r="I100" s="9">
        <f>'3_TF'!I100*'4_IDF'!$E100</f>
        <v/>
      </c>
      <c r="J100" s="9">
        <f>'3_TF'!J100*'4_IDF'!$E100</f>
        <v/>
      </c>
      <c r="K100" s="9">
        <f>'3_TF'!K100*'4_IDF'!$E100</f>
        <v/>
      </c>
      <c r="L100" s="9">
        <f>'3_TF'!L100*'4_IDF'!$E100</f>
        <v/>
      </c>
      <c r="M100" s="9">
        <f>'3_TF'!M100*'4_IDF'!$E100</f>
        <v/>
      </c>
      <c r="O100" s="6">
        <f>A100</f>
        <v/>
      </c>
      <c r="P100" s="9">
        <f>IF(B$227=0,0,B100/B$227)</f>
        <v/>
      </c>
      <c r="Q100" s="9">
        <f>IF(C$227=0,0,C100/C$227)</f>
        <v/>
      </c>
      <c r="R100" s="9">
        <f>IF(D$227=0,0,D100/D$227)</f>
        <v/>
      </c>
      <c r="S100" s="9">
        <f>IF(E$227=0,0,E100/E$227)</f>
        <v/>
      </c>
      <c r="T100" s="9">
        <f>IF(F$227=0,0,F100/F$227)</f>
        <v/>
      </c>
      <c r="U100" s="9">
        <f>IF(G$227=0,0,G100/G$227)</f>
        <v/>
      </c>
      <c r="V100" s="9">
        <f>IF(H$227=0,0,H100/H$227)</f>
        <v/>
      </c>
      <c r="W100" s="9">
        <f>IF(I$227=0,0,I100/I$227)</f>
        <v/>
      </c>
      <c r="X100" s="9">
        <f>IF(J$227=0,0,J100/J$227)</f>
        <v/>
      </c>
      <c r="Y100" s="9">
        <f>IF(K$227=0,0,K100/K$227)</f>
        <v/>
      </c>
      <c r="Z100" s="9">
        <f>IF(L$227=0,0,L100/L$227)</f>
        <v/>
      </c>
      <c r="AA100" s="9">
        <f>IF(M$227=0,0,M100/M$227)</f>
        <v/>
      </c>
      <c r="AB100" s="9">
        <f>AVERAGE(P100,Q100,S100)</f>
        <v/>
      </c>
    </row>
    <row r="101">
      <c r="A101" s="6">
        <f>'3_TF'!A101</f>
        <v/>
      </c>
      <c r="B101" s="9">
        <f>'3_TF'!B101*'4_IDF'!$E101</f>
        <v/>
      </c>
      <c r="C101" s="9">
        <f>'3_TF'!C101*'4_IDF'!$E101</f>
        <v/>
      </c>
      <c r="D101" s="9">
        <f>'3_TF'!D101*'4_IDF'!$E101</f>
        <v/>
      </c>
      <c r="E101" s="9">
        <f>'3_TF'!E101*'4_IDF'!$E101</f>
        <v/>
      </c>
      <c r="F101" s="9">
        <f>'3_TF'!F101*'4_IDF'!$E101</f>
        <v/>
      </c>
      <c r="G101" s="9">
        <f>'3_TF'!G101*'4_IDF'!$E101</f>
        <v/>
      </c>
      <c r="H101" s="9">
        <f>'3_TF'!H101*'4_IDF'!$E101</f>
        <v/>
      </c>
      <c r="I101" s="9">
        <f>'3_TF'!I101*'4_IDF'!$E101</f>
        <v/>
      </c>
      <c r="J101" s="9">
        <f>'3_TF'!J101*'4_IDF'!$E101</f>
        <v/>
      </c>
      <c r="K101" s="9">
        <f>'3_TF'!K101*'4_IDF'!$E101</f>
        <v/>
      </c>
      <c r="L101" s="9">
        <f>'3_TF'!L101*'4_IDF'!$E101</f>
        <v/>
      </c>
      <c r="M101" s="9">
        <f>'3_TF'!M101*'4_IDF'!$E101</f>
        <v/>
      </c>
      <c r="O101" s="6">
        <f>A101</f>
        <v/>
      </c>
      <c r="P101" s="9">
        <f>IF(B$227=0,0,B101/B$227)</f>
        <v/>
      </c>
      <c r="Q101" s="9">
        <f>IF(C$227=0,0,C101/C$227)</f>
        <v/>
      </c>
      <c r="R101" s="9">
        <f>IF(D$227=0,0,D101/D$227)</f>
        <v/>
      </c>
      <c r="S101" s="9">
        <f>IF(E$227=0,0,E101/E$227)</f>
        <v/>
      </c>
      <c r="T101" s="9">
        <f>IF(F$227=0,0,F101/F$227)</f>
        <v/>
      </c>
      <c r="U101" s="9">
        <f>IF(G$227=0,0,G101/G$227)</f>
        <v/>
      </c>
      <c r="V101" s="9">
        <f>IF(H$227=0,0,H101/H$227)</f>
        <v/>
      </c>
      <c r="W101" s="9">
        <f>IF(I$227=0,0,I101/I$227)</f>
        <v/>
      </c>
      <c r="X101" s="9">
        <f>IF(J$227=0,0,J101/J$227)</f>
        <v/>
      </c>
      <c r="Y101" s="9">
        <f>IF(K$227=0,0,K101/K$227)</f>
        <v/>
      </c>
      <c r="Z101" s="9">
        <f>IF(L$227=0,0,L101/L$227)</f>
        <v/>
      </c>
      <c r="AA101" s="9">
        <f>IF(M$227=0,0,M101/M$227)</f>
        <v/>
      </c>
      <c r="AB101" s="9">
        <f>AVERAGE(P101,Q101,S101)</f>
        <v/>
      </c>
    </row>
    <row r="102">
      <c r="A102" s="6">
        <f>'3_TF'!A102</f>
        <v/>
      </c>
      <c r="B102" s="9">
        <f>'3_TF'!B102*'4_IDF'!$E102</f>
        <v/>
      </c>
      <c r="C102" s="9">
        <f>'3_TF'!C102*'4_IDF'!$E102</f>
        <v/>
      </c>
      <c r="D102" s="9">
        <f>'3_TF'!D102*'4_IDF'!$E102</f>
        <v/>
      </c>
      <c r="E102" s="9">
        <f>'3_TF'!E102*'4_IDF'!$E102</f>
        <v/>
      </c>
      <c r="F102" s="9">
        <f>'3_TF'!F102*'4_IDF'!$E102</f>
        <v/>
      </c>
      <c r="G102" s="9">
        <f>'3_TF'!G102*'4_IDF'!$E102</f>
        <v/>
      </c>
      <c r="H102" s="9">
        <f>'3_TF'!H102*'4_IDF'!$E102</f>
        <v/>
      </c>
      <c r="I102" s="9">
        <f>'3_TF'!I102*'4_IDF'!$E102</f>
        <v/>
      </c>
      <c r="J102" s="9">
        <f>'3_TF'!J102*'4_IDF'!$E102</f>
        <v/>
      </c>
      <c r="K102" s="9">
        <f>'3_TF'!K102*'4_IDF'!$E102</f>
        <v/>
      </c>
      <c r="L102" s="9">
        <f>'3_TF'!L102*'4_IDF'!$E102</f>
        <v/>
      </c>
      <c r="M102" s="9">
        <f>'3_TF'!M102*'4_IDF'!$E102</f>
        <v/>
      </c>
      <c r="O102" s="6">
        <f>A102</f>
        <v/>
      </c>
      <c r="P102" s="9">
        <f>IF(B$227=0,0,B102/B$227)</f>
        <v/>
      </c>
      <c r="Q102" s="9">
        <f>IF(C$227=0,0,C102/C$227)</f>
        <v/>
      </c>
      <c r="R102" s="9">
        <f>IF(D$227=0,0,D102/D$227)</f>
        <v/>
      </c>
      <c r="S102" s="9">
        <f>IF(E$227=0,0,E102/E$227)</f>
        <v/>
      </c>
      <c r="T102" s="9">
        <f>IF(F$227=0,0,F102/F$227)</f>
        <v/>
      </c>
      <c r="U102" s="9">
        <f>IF(G$227=0,0,G102/G$227)</f>
        <v/>
      </c>
      <c r="V102" s="9">
        <f>IF(H$227=0,0,H102/H$227)</f>
        <v/>
      </c>
      <c r="W102" s="9">
        <f>IF(I$227=0,0,I102/I$227)</f>
        <v/>
      </c>
      <c r="X102" s="9">
        <f>IF(J$227=0,0,J102/J$227)</f>
        <v/>
      </c>
      <c r="Y102" s="9">
        <f>IF(K$227=0,0,K102/K$227)</f>
        <v/>
      </c>
      <c r="Z102" s="9">
        <f>IF(L$227=0,0,L102/L$227)</f>
        <v/>
      </c>
      <c r="AA102" s="9">
        <f>IF(M$227=0,0,M102/M$227)</f>
        <v/>
      </c>
      <c r="AB102" s="9">
        <f>AVERAGE(P102,Q102,S102)</f>
        <v/>
      </c>
    </row>
    <row r="103">
      <c r="A103" s="6">
        <f>'3_TF'!A103</f>
        <v/>
      </c>
      <c r="B103" s="9">
        <f>'3_TF'!B103*'4_IDF'!$E103</f>
        <v/>
      </c>
      <c r="C103" s="9">
        <f>'3_TF'!C103*'4_IDF'!$E103</f>
        <v/>
      </c>
      <c r="D103" s="9">
        <f>'3_TF'!D103*'4_IDF'!$E103</f>
        <v/>
      </c>
      <c r="E103" s="9">
        <f>'3_TF'!E103*'4_IDF'!$E103</f>
        <v/>
      </c>
      <c r="F103" s="9">
        <f>'3_TF'!F103*'4_IDF'!$E103</f>
        <v/>
      </c>
      <c r="G103" s="9">
        <f>'3_TF'!G103*'4_IDF'!$E103</f>
        <v/>
      </c>
      <c r="H103" s="9">
        <f>'3_TF'!H103*'4_IDF'!$E103</f>
        <v/>
      </c>
      <c r="I103" s="9">
        <f>'3_TF'!I103*'4_IDF'!$E103</f>
        <v/>
      </c>
      <c r="J103" s="9">
        <f>'3_TF'!J103*'4_IDF'!$E103</f>
        <v/>
      </c>
      <c r="K103" s="9">
        <f>'3_TF'!K103*'4_IDF'!$E103</f>
        <v/>
      </c>
      <c r="L103" s="9">
        <f>'3_TF'!L103*'4_IDF'!$E103</f>
        <v/>
      </c>
      <c r="M103" s="9">
        <f>'3_TF'!M103*'4_IDF'!$E103</f>
        <v/>
      </c>
      <c r="O103" s="6">
        <f>A103</f>
        <v/>
      </c>
      <c r="P103" s="9">
        <f>IF(B$227=0,0,B103/B$227)</f>
        <v/>
      </c>
      <c r="Q103" s="9">
        <f>IF(C$227=0,0,C103/C$227)</f>
        <v/>
      </c>
      <c r="R103" s="9">
        <f>IF(D$227=0,0,D103/D$227)</f>
        <v/>
      </c>
      <c r="S103" s="9">
        <f>IF(E$227=0,0,E103/E$227)</f>
        <v/>
      </c>
      <c r="T103" s="9">
        <f>IF(F$227=0,0,F103/F$227)</f>
        <v/>
      </c>
      <c r="U103" s="9">
        <f>IF(G$227=0,0,G103/G$227)</f>
        <v/>
      </c>
      <c r="V103" s="9">
        <f>IF(H$227=0,0,H103/H$227)</f>
        <v/>
      </c>
      <c r="W103" s="9">
        <f>IF(I$227=0,0,I103/I$227)</f>
        <v/>
      </c>
      <c r="X103" s="9">
        <f>IF(J$227=0,0,J103/J$227)</f>
        <v/>
      </c>
      <c r="Y103" s="9">
        <f>IF(K$227=0,0,K103/K$227)</f>
        <v/>
      </c>
      <c r="Z103" s="9">
        <f>IF(L$227=0,0,L103/L$227)</f>
        <v/>
      </c>
      <c r="AA103" s="9">
        <f>IF(M$227=0,0,M103/M$227)</f>
        <v/>
      </c>
      <c r="AB103" s="9">
        <f>AVERAGE(P103,Q103,S103)</f>
        <v/>
      </c>
    </row>
    <row r="104">
      <c r="A104" s="6">
        <f>'3_TF'!A104</f>
        <v/>
      </c>
      <c r="B104" s="9">
        <f>'3_TF'!B104*'4_IDF'!$E104</f>
        <v/>
      </c>
      <c r="C104" s="9">
        <f>'3_TF'!C104*'4_IDF'!$E104</f>
        <v/>
      </c>
      <c r="D104" s="9">
        <f>'3_TF'!D104*'4_IDF'!$E104</f>
        <v/>
      </c>
      <c r="E104" s="9">
        <f>'3_TF'!E104*'4_IDF'!$E104</f>
        <v/>
      </c>
      <c r="F104" s="9">
        <f>'3_TF'!F104*'4_IDF'!$E104</f>
        <v/>
      </c>
      <c r="G104" s="9">
        <f>'3_TF'!G104*'4_IDF'!$E104</f>
        <v/>
      </c>
      <c r="H104" s="9">
        <f>'3_TF'!H104*'4_IDF'!$E104</f>
        <v/>
      </c>
      <c r="I104" s="9">
        <f>'3_TF'!I104*'4_IDF'!$E104</f>
        <v/>
      </c>
      <c r="J104" s="9">
        <f>'3_TF'!J104*'4_IDF'!$E104</f>
        <v/>
      </c>
      <c r="K104" s="9">
        <f>'3_TF'!K104*'4_IDF'!$E104</f>
        <v/>
      </c>
      <c r="L104" s="9">
        <f>'3_TF'!L104*'4_IDF'!$E104</f>
        <v/>
      </c>
      <c r="M104" s="9">
        <f>'3_TF'!M104*'4_IDF'!$E104</f>
        <v/>
      </c>
      <c r="O104" s="6">
        <f>A104</f>
        <v/>
      </c>
      <c r="P104" s="9">
        <f>IF(B$227=0,0,B104/B$227)</f>
        <v/>
      </c>
      <c r="Q104" s="9">
        <f>IF(C$227=0,0,C104/C$227)</f>
        <v/>
      </c>
      <c r="R104" s="9">
        <f>IF(D$227=0,0,D104/D$227)</f>
        <v/>
      </c>
      <c r="S104" s="9">
        <f>IF(E$227=0,0,E104/E$227)</f>
        <v/>
      </c>
      <c r="T104" s="9">
        <f>IF(F$227=0,0,F104/F$227)</f>
        <v/>
      </c>
      <c r="U104" s="9">
        <f>IF(G$227=0,0,G104/G$227)</f>
        <v/>
      </c>
      <c r="V104" s="9">
        <f>IF(H$227=0,0,H104/H$227)</f>
        <v/>
      </c>
      <c r="W104" s="9">
        <f>IF(I$227=0,0,I104/I$227)</f>
        <v/>
      </c>
      <c r="X104" s="9">
        <f>IF(J$227=0,0,J104/J$227)</f>
        <v/>
      </c>
      <c r="Y104" s="9">
        <f>IF(K$227=0,0,K104/K$227)</f>
        <v/>
      </c>
      <c r="Z104" s="9">
        <f>IF(L$227=0,0,L104/L$227)</f>
        <v/>
      </c>
      <c r="AA104" s="9">
        <f>IF(M$227=0,0,M104/M$227)</f>
        <v/>
      </c>
      <c r="AB104" s="9">
        <f>AVERAGE(P104,Q104,S104)</f>
        <v/>
      </c>
    </row>
    <row r="105">
      <c r="A105" s="6">
        <f>'3_TF'!A105</f>
        <v/>
      </c>
      <c r="B105" s="9">
        <f>'3_TF'!B105*'4_IDF'!$E105</f>
        <v/>
      </c>
      <c r="C105" s="9">
        <f>'3_TF'!C105*'4_IDF'!$E105</f>
        <v/>
      </c>
      <c r="D105" s="9">
        <f>'3_TF'!D105*'4_IDF'!$E105</f>
        <v/>
      </c>
      <c r="E105" s="9">
        <f>'3_TF'!E105*'4_IDF'!$E105</f>
        <v/>
      </c>
      <c r="F105" s="9">
        <f>'3_TF'!F105*'4_IDF'!$E105</f>
        <v/>
      </c>
      <c r="G105" s="9">
        <f>'3_TF'!G105*'4_IDF'!$E105</f>
        <v/>
      </c>
      <c r="H105" s="9">
        <f>'3_TF'!H105*'4_IDF'!$E105</f>
        <v/>
      </c>
      <c r="I105" s="9">
        <f>'3_TF'!I105*'4_IDF'!$E105</f>
        <v/>
      </c>
      <c r="J105" s="9">
        <f>'3_TF'!J105*'4_IDF'!$E105</f>
        <v/>
      </c>
      <c r="K105" s="9">
        <f>'3_TF'!K105*'4_IDF'!$E105</f>
        <v/>
      </c>
      <c r="L105" s="9">
        <f>'3_TF'!L105*'4_IDF'!$E105</f>
        <v/>
      </c>
      <c r="M105" s="9">
        <f>'3_TF'!M105*'4_IDF'!$E105</f>
        <v/>
      </c>
      <c r="O105" s="6">
        <f>A105</f>
        <v/>
      </c>
      <c r="P105" s="9">
        <f>IF(B$227=0,0,B105/B$227)</f>
        <v/>
      </c>
      <c r="Q105" s="9">
        <f>IF(C$227=0,0,C105/C$227)</f>
        <v/>
      </c>
      <c r="R105" s="9">
        <f>IF(D$227=0,0,D105/D$227)</f>
        <v/>
      </c>
      <c r="S105" s="9">
        <f>IF(E$227=0,0,E105/E$227)</f>
        <v/>
      </c>
      <c r="T105" s="9">
        <f>IF(F$227=0,0,F105/F$227)</f>
        <v/>
      </c>
      <c r="U105" s="9">
        <f>IF(G$227=0,0,G105/G$227)</f>
        <v/>
      </c>
      <c r="V105" s="9">
        <f>IF(H$227=0,0,H105/H$227)</f>
        <v/>
      </c>
      <c r="W105" s="9">
        <f>IF(I$227=0,0,I105/I$227)</f>
        <v/>
      </c>
      <c r="X105" s="9">
        <f>IF(J$227=0,0,J105/J$227)</f>
        <v/>
      </c>
      <c r="Y105" s="9">
        <f>IF(K$227=0,0,K105/K$227)</f>
        <v/>
      </c>
      <c r="Z105" s="9">
        <f>IF(L$227=0,0,L105/L$227)</f>
        <v/>
      </c>
      <c r="AA105" s="9">
        <f>IF(M$227=0,0,M105/M$227)</f>
        <v/>
      </c>
      <c r="AB105" s="9">
        <f>AVERAGE(P105,Q105,S105)</f>
        <v/>
      </c>
    </row>
    <row r="106">
      <c r="A106" s="6">
        <f>'3_TF'!A106</f>
        <v/>
      </c>
      <c r="B106" s="9">
        <f>'3_TF'!B106*'4_IDF'!$E106</f>
        <v/>
      </c>
      <c r="C106" s="9">
        <f>'3_TF'!C106*'4_IDF'!$E106</f>
        <v/>
      </c>
      <c r="D106" s="9">
        <f>'3_TF'!D106*'4_IDF'!$E106</f>
        <v/>
      </c>
      <c r="E106" s="9">
        <f>'3_TF'!E106*'4_IDF'!$E106</f>
        <v/>
      </c>
      <c r="F106" s="9">
        <f>'3_TF'!F106*'4_IDF'!$E106</f>
        <v/>
      </c>
      <c r="G106" s="9">
        <f>'3_TF'!G106*'4_IDF'!$E106</f>
        <v/>
      </c>
      <c r="H106" s="9">
        <f>'3_TF'!H106*'4_IDF'!$E106</f>
        <v/>
      </c>
      <c r="I106" s="9">
        <f>'3_TF'!I106*'4_IDF'!$E106</f>
        <v/>
      </c>
      <c r="J106" s="9">
        <f>'3_TF'!J106*'4_IDF'!$E106</f>
        <v/>
      </c>
      <c r="K106" s="9">
        <f>'3_TF'!K106*'4_IDF'!$E106</f>
        <v/>
      </c>
      <c r="L106" s="9">
        <f>'3_TF'!L106*'4_IDF'!$E106</f>
        <v/>
      </c>
      <c r="M106" s="9">
        <f>'3_TF'!M106*'4_IDF'!$E106</f>
        <v/>
      </c>
      <c r="O106" s="6">
        <f>A106</f>
        <v/>
      </c>
      <c r="P106" s="9">
        <f>IF(B$227=0,0,B106/B$227)</f>
        <v/>
      </c>
      <c r="Q106" s="9">
        <f>IF(C$227=0,0,C106/C$227)</f>
        <v/>
      </c>
      <c r="R106" s="9">
        <f>IF(D$227=0,0,D106/D$227)</f>
        <v/>
      </c>
      <c r="S106" s="9">
        <f>IF(E$227=0,0,E106/E$227)</f>
        <v/>
      </c>
      <c r="T106" s="9">
        <f>IF(F$227=0,0,F106/F$227)</f>
        <v/>
      </c>
      <c r="U106" s="9">
        <f>IF(G$227=0,0,G106/G$227)</f>
        <v/>
      </c>
      <c r="V106" s="9">
        <f>IF(H$227=0,0,H106/H$227)</f>
        <v/>
      </c>
      <c r="W106" s="9">
        <f>IF(I$227=0,0,I106/I$227)</f>
        <v/>
      </c>
      <c r="X106" s="9">
        <f>IF(J$227=0,0,J106/J$227)</f>
        <v/>
      </c>
      <c r="Y106" s="9">
        <f>IF(K$227=0,0,K106/K$227)</f>
        <v/>
      </c>
      <c r="Z106" s="9">
        <f>IF(L$227=0,0,L106/L$227)</f>
        <v/>
      </c>
      <c r="AA106" s="9">
        <f>IF(M$227=0,0,M106/M$227)</f>
        <v/>
      </c>
      <c r="AB106" s="9">
        <f>AVERAGE(P106,Q106,S106)</f>
        <v/>
      </c>
    </row>
    <row r="107">
      <c r="A107" s="6">
        <f>'3_TF'!A107</f>
        <v/>
      </c>
      <c r="B107" s="9">
        <f>'3_TF'!B107*'4_IDF'!$E107</f>
        <v/>
      </c>
      <c r="C107" s="9">
        <f>'3_TF'!C107*'4_IDF'!$E107</f>
        <v/>
      </c>
      <c r="D107" s="9">
        <f>'3_TF'!D107*'4_IDF'!$E107</f>
        <v/>
      </c>
      <c r="E107" s="9">
        <f>'3_TF'!E107*'4_IDF'!$E107</f>
        <v/>
      </c>
      <c r="F107" s="9">
        <f>'3_TF'!F107*'4_IDF'!$E107</f>
        <v/>
      </c>
      <c r="G107" s="9">
        <f>'3_TF'!G107*'4_IDF'!$E107</f>
        <v/>
      </c>
      <c r="H107" s="9">
        <f>'3_TF'!H107*'4_IDF'!$E107</f>
        <v/>
      </c>
      <c r="I107" s="9">
        <f>'3_TF'!I107*'4_IDF'!$E107</f>
        <v/>
      </c>
      <c r="J107" s="9">
        <f>'3_TF'!J107*'4_IDF'!$E107</f>
        <v/>
      </c>
      <c r="K107" s="9">
        <f>'3_TF'!K107*'4_IDF'!$E107</f>
        <v/>
      </c>
      <c r="L107" s="9">
        <f>'3_TF'!L107*'4_IDF'!$E107</f>
        <v/>
      </c>
      <c r="M107" s="9">
        <f>'3_TF'!M107*'4_IDF'!$E107</f>
        <v/>
      </c>
      <c r="O107" s="6">
        <f>A107</f>
        <v/>
      </c>
      <c r="P107" s="9">
        <f>IF(B$227=0,0,B107/B$227)</f>
        <v/>
      </c>
      <c r="Q107" s="9">
        <f>IF(C$227=0,0,C107/C$227)</f>
        <v/>
      </c>
      <c r="R107" s="9">
        <f>IF(D$227=0,0,D107/D$227)</f>
        <v/>
      </c>
      <c r="S107" s="9">
        <f>IF(E$227=0,0,E107/E$227)</f>
        <v/>
      </c>
      <c r="T107" s="9">
        <f>IF(F$227=0,0,F107/F$227)</f>
        <v/>
      </c>
      <c r="U107" s="9">
        <f>IF(G$227=0,0,G107/G$227)</f>
        <v/>
      </c>
      <c r="V107" s="9">
        <f>IF(H$227=0,0,H107/H$227)</f>
        <v/>
      </c>
      <c r="W107" s="9">
        <f>IF(I$227=0,0,I107/I$227)</f>
        <v/>
      </c>
      <c r="X107" s="9">
        <f>IF(J$227=0,0,J107/J$227)</f>
        <v/>
      </c>
      <c r="Y107" s="9">
        <f>IF(K$227=0,0,K107/K$227)</f>
        <v/>
      </c>
      <c r="Z107" s="9">
        <f>IF(L$227=0,0,L107/L$227)</f>
        <v/>
      </c>
      <c r="AA107" s="9">
        <f>IF(M$227=0,0,M107/M$227)</f>
        <v/>
      </c>
      <c r="AB107" s="9">
        <f>AVERAGE(P107,Q107,S107)</f>
        <v/>
      </c>
    </row>
    <row r="108">
      <c r="A108" s="6">
        <f>'3_TF'!A108</f>
        <v/>
      </c>
      <c r="B108" s="9">
        <f>'3_TF'!B108*'4_IDF'!$E108</f>
        <v/>
      </c>
      <c r="C108" s="9">
        <f>'3_TF'!C108*'4_IDF'!$E108</f>
        <v/>
      </c>
      <c r="D108" s="9">
        <f>'3_TF'!D108*'4_IDF'!$E108</f>
        <v/>
      </c>
      <c r="E108" s="9">
        <f>'3_TF'!E108*'4_IDF'!$E108</f>
        <v/>
      </c>
      <c r="F108" s="9">
        <f>'3_TF'!F108*'4_IDF'!$E108</f>
        <v/>
      </c>
      <c r="G108" s="9">
        <f>'3_TF'!G108*'4_IDF'!$E108</f>
        <v/>
      </c>
      <c r="H108" s="9">
        <f>'3_TF'!H108*'4_IDF'!$E108</f>
        <v/>
      </c>
      <c r="I108" s="9">
        <f>'3_TF'!I108*'4_IDF'!$E108</f>
        <v/>
      </c>
      <c r="J108" s="9">
        <f>'3_TF'!J108*'4_IDF'!$E108</f>
        <v/>
      </c>
      <c r="K108" s="9">
        <f>'3_TF'!K108*'4_IDF'!$E108</f>
        <v/>
      </c>
      <c r="L108" s="9">
        <f>'3_TF'!L108*'4_IDF'!$E108</f>
        <v/>
      </c>
      <c r="M108" s="9">
        <f>'3_TF'!M108*'4_IDF'!$E108</f>
        <v/>
      </c>
      <c r="O108" s="6">
        <f>A108</f>
        <v/>
      </c>
      <c r="P108" s="9">
        <f>IF(B$227=0,0,B108/B$227)</f>
        <v/>
      </c>
      <c r="Q108" s="9">
        <f>IF(C$227=0,0,C108/C$227)</f>
        <v/>
      </c>
      <c r="R108" s="9">
        <f>IF(D$227=0,0,D108/D$227)</f>
        <v/>
      </c>
      <c r="S108" s="9">
        <f>IF(E$227=0,0,E108/E$227)</f>
        <v/>
      </c>
      <c r="T108" s="9">
        <f>IF(F$227=0,0,F108/F$227)</f>
        <v/>
      </c>
      <c r="U108" s="9">
        <f>IF(G$227=0,0,G108/G$227)</f>
        <v/>
      </c>
      <c r="V108" s="9">
        <f>IF(H$227=0,0,H108/H$227)</f>
        <v/>
      </c>
      <c r="W108" s="9">
        <f>IF(I$227=0,0,I108/I$227)</f>
        <v/>
      </c>
      <c r="X108" s="9">
        <f>IF(J$227=0,0,J108/J$227)</f>
        <v/>
      </c>
      <c r="Y108" s="9">
        <f>IF(K$227=0,0,K108/K$227)</f>
        <v/>
      </c>
      <c r="Z108" s="9">
        <f>IF(L$227=0,0,L108/L$227)</f>
        <v/>
      </c>
      <c r="AA108" s="9">
        <f>IF(M$227=0,0,M108/M$227)</f>
        <v/>
      </c>
      <c r="AB108" s="9">
        <f>AVERAGE(P108,Q108,S108)</f>
        <v/>
      </c>
    </row>
    <row r="109">
      <c r="A109" s="6">
        <f>'3_TF'!A109</f>
        <v/>
      </c>
      <c r="B109" s="9">
        <f>'3_TF'!B109*'4_IDF'!$E109</f>
        <v/>
      </c>
      <c r="C109" s="9">
        <f>'3_TF'!C109*'4_IDF'!$E109</f>
        <v/>
      </c>
      <c r="D109" s="9">
        <f>'3_TF'!D109*'4_IDF'!$E109</f>
        <v/>
      </c>
      <c r="E109" s="9">
        <f>'3_TF'!E109*'4_IDF'!$E109</f>
        <v/>
      </c>
      <c r="F109" s="9">
        <f>'3_TF'!F109*'4_IDF'!$E109</f>
        <v/>
      </c>
      <c r="G109" s="9">
        <f>'3_TF'!G109*'4_IDF'!$E109</f>
        <v/>
      </c>
      <c r="H109" s="9">
        <f>'3_TF'!H109*'4_IDF'!$E109</f>
        <v/>
      </c>
      <c r="I109" s="9">
        <f>'3_TF'!I109*'4_IDF'!$E109</f>
        <v/>
      </c>
      <c r="J109" s="9">
        <f>'3_TF'!J109*'4_IDF'!$E109</f>
        <v/>
      </c>
      <c r="K109" s="9">
        <f>'3_TF'!K109*'4_IDF'!$E109</f>
        <v/>
      </c>
      <c r="L109" s="9">
        <f>'3_TF'!L109*'4_IDF'!$E109</f>
        <v/>
      </c>
      <c r="M109" s="9">
        <f>'3_TF'!M109*'4_IDF'!$E109</f>
        <v/>
      </c>
      <c r="O109" s="6">
        <f>A109</f>
        <v/>
      </c>
      <c r="P109" s="9">
        <f>IF(B$227=0,0,B109/B$227)</f>
        <v/>
      </c>
      <c r="Q109" s="9">
        <f>IF(C$227=0,0,C109/C$227)</f>
        <v/>
      </c>
      <c r="R109" s="9">
        <f>IF(D$227=0,0,D109/D$227)</f>
        <v/>
      </c>
      <c r="S109" s="9">
        <f>IF(E$227=0,0,E109/E$227)</f>
        <v/>
      </c>
      <c r="T109" s="9">
        <f>IF(F$227=0,0,F109/F$227)</f>
        <v/>
      </c>
      <c r="U109" s="9">
        <f>IF(G$227=0,0,G109/G$227)</f>
        <v/>
      </c>
      <c r="V109" s="9">
        <f>IF(H$227=0,0,H109/H$227)</f>
        <v/>
      </c>
      <c r="W109" s="9">
        <f>IF(I$227=0,0,I109/I$227)</f>
        <v/>
      </c>
      <c r="X109" s="9">
        <f>IF(J$227=0,0,J109/J$227)</f>
        <v/>
      </c>
      <c r="Y109" s="9">
        <f>IF(K$227=0,0,K109/K$227)</f>
        <v/>
      </c>
      <c r="Z109" s="9">
        <f>IF(L$227=0,0,L109/L$227)</f>
        <v/>
      </c>
      <c r="AA109" s="9">
        <f>IF(M$227=0,0,M109/M$227)</f>
        <v/>
      </c>
      <c r="AB109" s="9">
        <f>AVERAGE(P109,Q109,S109)</f>
        <v/>
      </c>
    </row>
    <row r="110">
      <c r="A110" s="6">
        <f>'3_TF'!A110</f>
        <v/>
      </c>
      <c r="B110" s="9">
        <f>'3_TF'!B110*'4_IDF'!$E110</f>
        <v/>
      </c>
      <c r="C110" s="9">
        <f>'3_TF'!C110*'4_IDF'!$E110</f>
        <v/>
      </c>
      <c r="D110" s="9">
        <f>'3_TF'!D110*'4_IDF'!$E110</f>
        <v/>
      </c>
      <c r="E110" s="9">
        <f>'3_TF'!E110*'4_IDF'!$E110</f>
        <v/>
      </c>
      <c r="F110" s="9">
        <f>'3_TF'!F110*'4_IDF'!$E110</f>
        <v/>
      </c>
      <c r="G110" s="9">
        <f>'3_TF'!G110*'4_IDF'!$E110</f>
        <v/>
      </c>
      <c r="H110" s="9">
        <f>'3_TF'!H110*'4_IDF'!$E110</f>
        <v/>
      </c>
      <c r="I110" s="9">
        <f>'3_TF'!I110*'4_IDF'!$E110</f>
        <v/>
      </c>
      <c r="J110" s="9">
        <f>'3_TF'!J110*'4_IDF'!$E110</f>
        <v/>
      </c>
      <c r="K110" s="9">
        <f>'3_TF'!K110*'4_IDF'!$E110</f>
        <v/>
      </c>
      <c r="L110" s="9">
        <f>'3_TF'!L110*'4_IDF'!$E110</f>
        <v/>
      </c>
      <c r="M110" s="9">
        <f>'3_TF'!M110*'4_IDF'!$E110</f>
        <v/>
      </c>
      <c r="O110" s="6">
        <f>A110</f>
        <v/>
      </c>
      <c r="P110" s="9">
        <f>IF(B$227=0,0,B110/B$227)</f>
        <v/>
      </c>
      <c r="Q110" s="9">
        <f>IF(C$227=0,0,C110/C$227)</f>
        <v/>
      </c>
      <c r="R110" s="9">
        <f>IF(D$227=0,0,D110/D$227)</f>
        <v/>
      </c>
      <c r="S110" s="9">
        <f>IF(E$227=0,0,E110/E$227)</f>
        <v/>
      </c>
      <c r="T110" s="9">
        <f>IF(F$227=0,0,F110/F$227)</f>
        <v/>
      </c>
      <c r="U110" s="9">
        <f>IF(G$227=0,0,G110/G$227)</f>
        <v/>
      </c>
      <c r="V110" s="9">
        <f>IF(H$227=0,0,H110/H$227)</f>
        <v/>
      </c>
      <c r="W110" s="9">
        <f>IF(I$227=0,0,I110/I$227)</f>
        <v/>
      </c>
      <c r="X110" s="9">
        <f>IF(J$227=0,0,J110/J$227)</f>
        <v/>
      </c>
      <c r="Y110" s="9">
        <f>IF(K$227=0,0,K110/K$227)</f>
        <v/>
      </c>
      <c r="Z110" s="9">
        <f>IF(L$227=0,0,L110/L$227)</f>
        <v/>
      </c>
      <c r="AA110" s="9">
        <f>IF(M$227=0,0,M110/M$227)</f>
        <v/>
      </c>
      <c r="AB110" s="9">
        <f>AVERAGE(P110,Q110,S110)</f>
        <v/>
      </c>
    </row>
    <row r="111">
      <c r="A111" s="6">
        <f>'3_TF'!A111</f>
        <v/>
      </c>
      <c r="B111" s="9">
        <f>'3_TF'!B111*'4_IDF'!$E111</f>
        <v/>
      </c>
      <c r="C111" s="9">
        <f>'3_TF'!C111*'4_IDF'!$E111</f>
        <v/>
      </c>
      <c r="D111" s="9">
        <f>'3_TF'!D111*'4_IDF'!$E111</f>
        <v/>
      </c>
      <c r="E111" s="9">
        <f>'3_TF'!E111*'4_IDF'!$E111</f>
        <v/>
      </c>
      <c r="F111" s="9">
        <f>'3_TF'!F111*'4_IDF'!$E111</f>
        <v/>
      </c>
      <c r="G111" s="9">
        <f>'3_TF'!G111*'4_IDF'!$E111</f>
        <v/>
      </c>
      <c r="H111" s="9">
        <f>'3_TF'!H111*'4_IDF'!$E111</f>
        <v/>
      </c>
      <c r="I111" s="9">
        <f>'3_TF'!I111*'4_IDF'!$E111</f>
        <v/>
      </c>
      <c r="J111" s="9">
        <f>'3_TF'!J111*'4_IDF'!$E111</f>
        <v/>
      </c>
      <c r="K111" s="9">
        <f>'3_TF'!K111*'4_IDF'!$E111</f>
        <v/>
      </c>
      <c r="L111" s="9">
        <f>'3_TF'!L111*'4_IDF'!$E111</f>
        <v/>
      </c>
      <c r="M111" s="9">
        <f>'3_TF'!M111*'4_IDF'!$E111</f>
        <v/>
      </c>
      <c r="O111" s="6">
        <f>A111</f>
        <v/>
      </c>
      <c r="P111" s="9">
        <f>IF(B$227=0,0,B111/B$227)</f>
        <v/>
      </c>
      <c r="Q111" s="9">
        <f>IF(C$227=0,0,C111/C$227)</f>
        <v/>
      </c>
      <c r="R111" s="9">
        <f>IF(D$227=0,0,D111/D$227)</f>
        <v/>
      </c>
      <c r="S111" s="9">
        <f>IF(E$227=0,0,E111/E$227)</f>
        <v/>
      </c>
      <c r="T111" s="9">
        <f>IF(F$227=0,0,F111/F$227)</f>
        <v/>
      </c>
      <c r="U111" s="9">
        <f>IF(G$227=0,0,G111/G$227)</f>
        <v/>
      </c>
      <c r="V111" s="9">
        <f>IF(H$227=0,0,H111/H$227)</f>
        <v/>
      </c>
      <c r="W111" s="9">
        <f>IF(I$227=0,0,I111/I$227)</f>
        <v/>
      </c>
      <c r="X111" s="9">
        <f>IF(J$227=0,0,J111/J$227)</f>
        <v/>
      </c>
      <c r="Y111" s="9">
        <f>IF(K$227=0,0,K111/K$227)</f>
        <v/>
      </c>
      <c r="Z111" s="9">
        <f>IF(L$227=0,0,L111/L$227)</f>
        <v/>
      </c>
      <c r="AA111" s="9">
        <f>IF(M$227=0,0,M111/M$227)</f>
        <v/>
      </c>
      <c r="AB111" s="9">
        <f>AVERAGE(P111,Q111,S111)</f>
        <v/>
      </c>
    </row>
    <row r="112">
      <c r="A112" s="6">
        <f>'3_TF'!A112</f>
        <v/>
      </c>
      <c r="B112" s="9">
        <f>'3_TF'!B112*'4_IDF'!$E112</f>
        <v/>
      </c>
      <c r="C112" s="9">
        <f>'3_TF'!C112*'4_IDF'!$E112</f>
        <v/>
      </c>
      <c r="D112" s="9">
        <f>'3_TF'!D112*'4_IDF'!$E112</f>
        <v/>
      </c>
      <c r="E112" s="9">
        <f>'3_TF'!E112*'4_IDF'!$E112</f>
        <v/>
      </c>
      <c r="F112" s="9">
        <f>'3_TF'!F112*'4_IDF'!$E112</f>
        <v/>
      </c>
      <c r="G112" s="9">
        <f>'3_TF'!G112*'4_IDF'!$E112</f>
        <v/>
      </c>
      <c r="H112" s="9">
        <f>'3_TF'!H112*'4_IDF'!$E112</f>
        <v/>
      </c>
      <c r="I112" s="9">
        <f>'3_TF'!I112*'4_IDF'!$E112</f>
        <v/>
      </c>
      <c r="J112" s="9">
        <f>'3_TF'!J112*'4_IDF'!$E112</f>
        <v/>
      </c>
      <c r="K112" s="9">
        <f>'3_TF'!K112*'4_IDF'!$E112</f>
        <v/>
      </c>
      <c r="L112" s="9">
        <f>'3_TF'!L112*'4_IDF'!$E112</f>
        <v/>
      </c>
      <c r="M112" s="9">
        <f>'3_TF'!M112*'4_IDF'!$E112</f>
        <v/>
      </c>
      <c r="O112" s="6">
        <f>A112</f>
        <v/>
      </c>
      <c r="P112" s="9">
        <f>IF(B$227=0,0,B112/B$227)</f>
        <v/>
      </c>
      <c r="Q112" s="9">
        <f>IF(C$227=0,0,C112/C$227)</f>
        <v/>
      </c>
      <c r="R112" s="9">
        <f>IF(D$227=0,0,D112/D$227)</f>
        <v/>
      </c>
      <c r="S112" s="9">
        <f>IF(E$227=0,0,E112/E$227)</f>
        <v/>
      </c>
      <c r="T112" s="9">
        <f>IF(F$227=0,0,F112/F$227)</f>
        <v/>
      </c>
      <c r="U112" s="9">
        <f>IF(G$227=0,0,G112/G$227)</f>
        <v/>
      </c>
      <c r="V112" s="9">
        <f>IF(H$227=0,0,H112/H$227)</f>
        <v/>
      </c>
      <c r="W112" s="9">
        <f>IF(I$227=0,0,I112/I$227)</f>
        <v/>
      </c>
      <c r="X112" s="9">
        <f>IF(J$227=0,0,J112/J$227)</f>
        <v/>
      </c>
      <c r="Y112" s="9">
        <f>IF(K$227=0,0,K112/K$227)</f>
        <v/>
      </c>
      <c r="Z112" s="9">
        <f>IF(L$227=0,0,L112/L$227)</f>
        <v/>
      </c>
      <c r="AA112" s="9">
        <f>IF(M$227=0,0,M112/M$227)</f>
        <v/>
      </c>
      <c r="AB112" s="9">
        <f>AVERAGE(P112,Q112,S112)</f>
        <v/>
      </c>
    </row>
    <row r="113">
      <c r="A113" s="6">
        <f>'3_TF'!A113</f>
        <v/>
      </c>
      <c r="B113" s="9">
        <f>'3_TF'!B113*'4_IDF'!$E113</f>
        <v/>
      </c>
      <c r="C113" s="9">
        <f>'3_TF'!C113*'4_IDF'!$E113</f>
        <v/>
      </c>
      <c r="D113" s="9">
        <f>'3_TF'!D113*'4_IDF'!$E113</f>
        <v/>
      </c>
      <c r="E113" s="9">
        <f>'3_TF'!E113*'4_IDF'!$E113</f>
        <v/>
      </c>
      <c r="F113" s="9">
        <f>'3_TF'!F113*'4_IDF'!$E113</f>
        <v/>
      </c>
      <c r="G113" s="9">
        <f>'3_TF'!G113*'4_IDF'!$E113</f>
        <v/>
      </c>
      <c r="H113" s="9">
        <f>'3_TF'!H113*'4_IDF'!$E113</f>
        <v/>
      </c>
      <c r="I113" s="9">
        <f>'3_TF'!I113*'4_IDF'!$E113</f>
        <v/>
      </c>
      <c r="J113" s="9">
        <f>'3_TF'!J113*'4_IDF'!$E113</f>
        <v/>
      </c>
      <c r="K113" s="9">
        <f>'3_TF'!K113*'4_IDF'!$E113</f>
        <v/>
      </c>
      <c r="L113" s="9">
        <f>'3_TF'!L113*'4_IDF'!$E113</f>
        <v/>
      </c>
      <c r="M113" s="9">
        <f>'3_TF'!M113*'4_IDF'!$E113</f>
        <v/>
      </c>
      <c r="O113" s="6">
        <f>A113</f>
        <v/>
      </c>
      <c r="P113" s="9">
        <f>IF(B$227=0,0,B113/B$227)</f>
        <v/>
      </c>
      <c r="Q113" s="9">
        <f>IF(C$227=0,0,C113/C$227)</f>
        <v/>
      </c>
      <c r="R113" s="9">
        <f>IF(D$227=0,0,D113/D$227)</f>
        <v/>
      </c>
      <c r="S113" s="9">
        <f>IF(E$227=0,0,E113/E$227)</f>
        <v/>
      </c>
      <c r="T113" s="9">
        <f>IF(F$227=0,0,F113/F$227)</f>
        <v/>
      </c>
      <c r="U113" s="9">
        <f>IF(G$227=0,0,G113/G$227)</f>
        <v/>
      </c>
      <c r="V113" s="9">
        <f>IF(H$227=0,0,H113/H$227)</f>
        <v/>
      </c>
      <c r="W113" s="9">
        <f>IF(I$227=0,0,I113/I$227)</f>
        <v/>
      </c>
      <c r="X113" s="9">
        <f>IF(J$227=0,0,J113/J$227)</f>
        <v/>
      </c>
      <c r="Y113" s="9">
        <f>IF(K$227=0,0,K113/K$227)</f>
        <v/>
      </c>
      <c r="Z113" s="9">
        <f>IF(L$227=0,0,L113/L$227)</f>
        <v/>
      </c>
      <c r="AA113" s="9">
        <f>IF(M$227=0,0,M113/M$227)</f>
        <v/>
      </c>
      <c r="AB113" s="9">
        <f>AVERAGE(P113,Q113,S113)</f>
        <v/>
      </c>
    </row>
    <row r="114">
      <c r="A114" s="6">
        <f>'3_TF'!A114</f>
        <v/>
      </c>
      <c r="B114" s="9">
        <f>'3_TF'!B114*'4_IDF'!$E114</f>
        <v/>
      </c>
      <c r="C114" s="9">
        <f>'3_TF'!C114*'4_IDF'!$E114</f>
        <v/>
      </c>
      <c r="D114" s="9">
        <f>'3_TF'!D114*'4_IDF'!$E114</f>
        <v/>
      </c>
      <c r="E114" s="9">
        <f>'3_TF'!E114*'4_IDF'!$E114</f>
        <v/>
      </c>
      <c r="F114" s="9">
        <f>'3_TF'!F114*'4_IDF'!$E114</f>
        <v/>
      </c>
      <c r="G114" s="9">
        <f>'3_TF'!G114*'4_IDF'!$E114</f>
        <v/>
      </c>
      <c r="H114" s="9">
        <f>'3_TF'!H114*'4_IDF'!$E114</f>
        <v/>
      </c>
      <c r="I114" s="9">
        <f>'3_TF'!I114*'4_IDF'!$E114</f>
        <v/>
      </c>
      <c r="J114" s="9">
        <f>'3_TF'!J114*'4_IDF'!$E114</f>
        <v/>
      </c>
      <c r="K114" s="9">
        <f>'3_TF'!K114*'4_IDF'!$E114</f>
        <v/>
      </c>
      <c r="L114" s="9">
        <f>'3_TF'!L114*'4_IDF'!$E114</f>
        <v/>
      </c>
      <c r="M114" s="9">
        <f>'3_TF'!M114*'4_IDF'!$E114</f>
        <v/>
      </c>
      <c r="O114" s="6">
        <f>A114</f>
        <v/>
      </c>
      <c r="P114" s="9">
        <f>IF(B$227=0,0,B114/B$227)</f>
        <v/>
      </c>
      <c r="Q114" s="9">
        <f>IF(C$227=0,0,C114/C$227)</f>
        <v/>
      </c>
      <c r="R114" s="9">
        <f>IF(D$227=0,0,D114/D$227)</f>
        <v/>
      </c>
      <c r="S114" s="9">
        <f>IF(E$227=0,0,E114/E$227)</f>
        <v/>
      </c>
      <c r="T114" s="9">
        <f>IF(F$227=0,0,F114/F$227)</f>
        <v/>
      </c>
      <c r="U114" s="9">
        <f>IF(G$227=0,0,G114/G$227)</f>
        <v/>
      </c>
      <c r="V114" s="9">
        <f>IF(H$227=0,0,H114/H$227)</f>
        <v/>
      </c>
      <c r="W114" s="9">
        <f>IF(I$227=0,0,I114/I$227)</f>
        <v/>
      </c>
      <c r="X114" s="9">
        <f>IF(J$227=0,0,J114/J$227)</f>
        <v/>
      </c>
      <c r="Y114" s="9">
        <f>IF(K$227=0,0,K114/K$227)</f>
        <v/>
      </c>
      <c r="Z114" s="9">
        <f>IF(L$227=0,0,L114/L$227)</f>
        <v/>
      </c>
      <c r="AA114" s="9">
        <f>IF(M$227=0,0,M114/M$227)</f>
        <v/>
      </c>
      <c r="AB114" s="9">
        <f>AVERAGE(P114,Q114,S114)</f>
        <v/>
      </c>
    </row>
    <row r="115">
      <c r="A115" s="6">
        <f>'3_TF'!A115</f>
        <v/>
      </c>
      <c r="B115" s="9">
        <f>'3_TF'!B115*'4_IDF'!$E115</f>
        <v/>
      </c>
      <c r="C115" s="9">
        <f>'3_TF'!C115*'4_IDF'!$E115</f>
        <v/>
      </c>
      <c r="D115" s="9">
        <f>'3_TF'!D115*'4_IDF'!$E115</f>
        <v/>
      </c>
      <c r="E115" s="9">
        <f>'3_TF'!E115*'4_IDF'!$E115</f>
        <v/>
      </c>
      <c r="F115" s="9">
        <f>'3_TF'!F115*'4_IDF'!$E115</f>
        <v/>
      </c>
      <c r="G115" s="9">
        <f>'3_TF'!G115*'4_IDF'!$E115</f>
        <v/>
      </c>
      <c r="H115" s="9">
        <f>'3_TF'!H115*'4_IDF'!$E115</f>
        <v/>
      </c>
      <c r="I115" s="9">
        <f>'3_TF'!I115*'4_IDF'!$E115</f>
        <v/>
      </c>
      <c r="J115" s="9">
        <f>'3_TF'!J115*'4_IDF'!$E115</f>
        <v/>
      </c>
      <c r="K115" s="9">
        <f>'3_TF'!K115*'4_IDF'!$E115</f>
        <v/>
      </c>
      <c r="L115" s="9">
        <f>'3_TF'!L115*'4_IDF'!$E115</f>
        <v/>
      </c>
      <c r="M115" s="9">
        <f>'3_TF'!M115*'4_IDF'!$E115</f>
        <v/>
      </c>
      <c r="O115" s="6">
        <f>A115</f>
        <v/>
      </c>
      <c r="P115" s="9">
        <f>IF(B$227=0,0,B115/B$227)</f>
        <v/>
      </c>
      <c r="Q115" s="9">
        <f>IF(C$227=0,0,C115/C$227)</f>
        <v/>
      </c>
      <c r="R115" s="9">
        <f>IF(D$227=0,0,D115/D$227)</f>
        <v/>
      </c>
      <c r="S115" s="9">
        <f>IF(E$227=0,0,E115/E$227)</f>
        <v/>
      </c>
      <c r="T115" s="9">
        <f>IF(F$227=0,0,F115/F$227)</f>
        <v/>
      </c>
      <c r="U115" s="9">
        <f>IF(G$227=0,0,G115/G$227)</f>
        <v/>
      </c>
      <c r="V115" s="9">
        <f>IF(H$227=0,0,H115/H$227)</f>
        <v/>
      </c>
      <c r="W115" s="9">
        <f>IF(I$227=0,0,I115/I$227)</f>
        <v/>
      </c>
      <c r="X115" s="9">
        <f>IF(J$227=0,0,J115/J$227)</f>
        <v/>
      </c>
      <c r="Y115" s="9">
        <f>IF(K$227=0,0,K115/K$227)</f>
        <v/>
      </c>
      <c r="Z115" s="9">
        <f>IF(L$227=0,0,L115/L$227)</f>
        <v/>
      </c>
      <c r="AA115" s="9">
        <f>IF(M$227=0,0,M115/M$227)</f>
        <v/>
      </c>
      <c r="AB115" s="9">
        <f>AVERAGE(P115,Q115,S115)</f>
        <v/>
      </c>
    </row>
    <row r="116">
      <c r="A116" s="6">
        <f>'3_TF'!A116</f>
        <v/>
      </c>
      <c r="B116" s="9">
        <f>'3_TF'!B116*'4_IDF'!$E116</f>
        <v/>
      </c>
      <c r="C116" s="9">
        <f>'3_TF'!C116*'4_IDF'!$E116</f>
        <v/>
      </c>
      <c r="D116" s="9">
        <f>'3_TF'!D116*'4_IDF'!$E116</f>
        <v/>
      </c>
      <c r="E116" s="9">
        <f>'3_TF'!E116*'4_IDF'!$E116</f>
        <v/>
      </c>
      <c r="F116" s="9">
        <f>'3_TF'!F116*'4_IDF'!$E116</f>
        <v/>
      </c>
      <c r="G116" s="9">
        <f>'3_TF'!G116*'4_IDF'!$E116</f>
        <v/>
      </c>
      <c r="H116" s="9">
        <f>'3_TF'!H116*'4_IDF'!$E116</f>
        <v/>
      </c>
      <c r="I116" s="9">
        <f>'3_TF'!I116*'4_IDF'!$E116</f>
        <v/>
      </c>
      <c r="J116" s="9">
        <f>'3_TF'!J116*'4_IDF'!$E116</f>
        <v/>
      </c>
      <c r="K116" s="9">
        <f>'3_TF'!K116*'4_IDF'!$E116</f>
        <v/>
      </c>
      <c r="L116" s="9">
        <f>'3_TF'!L116*'4_IDF'!$E116</f>
        <v/>
      </c>
      <c r="M116" s="9">
        <f>'3_TF'!M116*'4_IDF'!$E116</f>
        <v/>
      </c>
      <c r="O116" s="6">
        <f>A116</f>
        <v/>
      </c>
      <c r="P116" s="9">
        <f>IF(B$227=0,0,B116/B$227)</f>
        <v/>
      </c>
      <c r="Q116" s="9">
        <f>IF(C$227=0,0,C116/C$227)</f>
        <v/>
      </c>
      <c r="R116" s="9">
        <f>IF(D$227=0,0,D116/D$227)</f>
        <v/>
      </c>
      <c r="S116" s="9">
        <f>IF(E$227=0,0,E116/E$227)</f>
        <v/>
      </c>
      <c r="T116" s="9">
        <f>IF(F$227=0,0,F116/F$227)</f>
        <v/>
      </c>
      <c r="U116" s="9">
        <f>IF(G$227=0,0,G116/G$227)</f>
        <v/>
      </c>
      <c r="V116" s="9">
        <f>IF(H$227=0,0,H116/H$227)</f>
        <v/>
      </c>
      <c r="W116" s="9">
        <f>IF(I$227=0,0,I116/I$227)</f>
        <v/>
      </c>
      <c r="X116" s="9">
        <f>IF(J$227=0,0,J116/J$227)</f>
        <v/>
      </c>
      <c r="Y116" s="9">
        <f>IF(K$227=0,0,K116/K$227)</f>
        <v/>
      </c>
      <c r="Z116" s="9">
        <f>IF(L$227=0,0,L116/L$227)</f>
        <v/>
      </c>
      <c r="AA116" s="9">
        <f>IF(M$227=0,0,M116/M$227)</f>
        <v/>
      </c>
      <c r="AB116" s="9">
        <f>AVERAGE(P116,Q116,S116)</f>
        <v/>
      </c>
    </row>
    <row r="117">
      <c r="A117" s="6">
        <f>'3_TF'!A117</f>
        <v/>
      </c>
      <c r="B117" s="9">
        <f>'3_TF'!B117*'4_IDF'!$E117</f>
        <v/>
      </c>
      <c r="C117" s="9">
        <f>'3_TF'!C117*'4_IDF'!$E117</f>
        <v/>
      </c>
      <c r="D117" s="9">
        <f>'3_TF'!D117*'4_IDF'!$E117</f>
        <v/>
      </c>
      <c r="E117" s="9">
        <f>'3_TF'!E117*'4_IDF'!$E117</f>
        <v/>
      </c>
      <c r="F117" s="9">
        <f>'3_TF'!F117*'4_IDF'!$E117</f>
        <v/>
      </c>
      <c r="G117" s="9">
        <f>'3_TF'!G117*'4_IDF'!$E117</f>
        <v/>
      </c>
      <c r="H117" s="9">
        <f>'3_TF'!H117*'4_IDF'!$E117</f>
        <v/>
      </c>
      <c r="I117" s="9">
        <f>'3_TF'!I117*'4_IDF'!$E117</f>
        <v/>
      </c>
      <c r="J117" s="9">
        <f>'3_TF'!J117*'4_IDF'!$E117</f>
        <v/>
      </c>
      <c r="K117" s="9">
        <f>'3_TF'!K117*'4_IDF'!$E117</f>
        <v/>
      </c>
      <c r="L117" s="9">
        <f>'3_TF'!L117*'4_IDF'!$E117</f>
        <v/>
      </c>
      <c r="M117" s="9">
        <f>'3_TF'!M117*'4_IDF'!$E117</f>
        <v/>
      </c>
      <c r="O117" s="6">
        <f>A117</f>
        <v/>
      </c>
      <c r="P117" s="9">
        <f>IF(B$227=0,0,B117/B$227)</f>
        <v/>
      </c>
      <c r="Q117" s="9">
        <f>IF(C$227=0,0,C117/C$227)</f>
        <v/>
      </c>
      <c r="R117" s="9">
        <f>IF(D$227=0,0,D117/D$227)</f>
        <v/>
      </c>
      <c r="S117" s="9">
        <f>IF(E$227=0,0,E117/E$227)</f>
        <v/>
      </c>
      <c r="T117" s="9">
        <f>IF(F$227=0,0,F117/F$227)</f>
        <v/>
      </c>
      <c r="U117" s="9">
        <f>IF(G$227=0,0,G117/G$227)</f>
        <v/>
      </c>
      <c r="V117" s="9">
        <f>IF(H$227=0,0,H117/H$227)</f>
        <v/>
      </c>
      <c r="W117" s="9">
        <f>IF(I$227=0,0,I117/I$227)</f>
        <v/>
      </c>
      <c r="X117" s="9">
        <f>IF(J$227=0,0,J117/J$227)</f>
        <v/>
      </c>
      <c r="Y117" s="9">
        <f>IF(K$227=0,0,K117/K$227)</f>
        <v/>
      </c>
      <c r="Z117" s="9">
        <f>IF(L$227=0,0,L117/L$227)</f>
        <v/>
      </c>
      <c r="AA117" s="9">
        <f>IF(M$227=0,0,M117/M$227)</f>
        <v/>
      </c>
      <c r="AB117" s="9">
        <f>AVERAGE(P117,Q117,S117)</f>
        <v/>
      </c>
    </row>
    <row r="118">
      <c r="A118" s="6">
        <f>'3_TF'!A118</f>
        <v/>
      </c>
      <c r="B118" s="9">
        <f>'3_TF'!B118*'4_IDF'!$E118</f>
        <v/>
      </c>
      <c r="C118" s="9">
        <f>'3_TF'!C118*'4_IDF'!$E118</f>
        <v/>
      </c>
      <c r="D118" s="9">
        <f>'3_TF'!D118*'4_IDF'!$E118</f>
        <v/>
      </c>
      <c r="E118" s="9">
        <f>'3_TF'!E118*'4_IDF'!$E118</f>
        <v/>
      </c>
      <c r="F118" s="9">
        <f>'3_TF'!F118*'4_IDF'!$E118</f>
        <v/>
      </c>
      <c r="G118" s="9">
        <f>'3_TF'!G118*'4_IDF'!$E118</f>
        <v/>
      </c>
      <c r="H118" s="9">
        <f>'3_TF'!H118*'4_IDF'!$E118</f>
        <v/>
      </c>
      <c r="I118" s="9">
        <f>'3_TF'!I118*'4_IDF'!$E118</f>
        <v/>
      </c>
      <c r="J118" s="9">
        <f>'3_TF'!J118*'4_IDF'!$E118</f>
        <v/>
      </c>
      <c r="K118" s="9">
        <f>'3_TF'!K118*'4_IDF'!$E118</f>
        <v/>
      </c>
      <c r="L118" s="9">
        <f>'3_TF'!L118*'4_IDF'!$E118</f>
        <v/>
      </c>
      <c r="M118" s="9">
        <f>'3_TF'!M118*'4_IDF'!$E118</f>
        <v/>
      </c>
      <c r="O118" s="6">
        <f>A118</f>
        <v/>
      </c>
      <c r="P118" s="9">
        <f>IF(B$227=0,0,B118/B$227)</f>
        <v/>
      </c>
      <c r="Q118" s="9">
        <f>IF(C$227=0,0,C118/C$227)</f>
        <v/>
      </c>
      <c r="R118" s="9">
        <f>IF(D$227=0,0,D118/D$227)</f>
        <v/>
      </c>
      <c r="S118" s="9">
        <f>IF(E$227=0,0,E118/E$227)</f>
        <v/>
      </c>
      <c r="T118" s="9">
        <f>IF(F$227=0,0,F118/F$227)</f>
        <v/>
      </c>
      <c r="U118" s="9">
        <f>IF(G$227=0,0,G118/G$227)</f>
        <v/>
      </c>
      <c r="V118" s="9">
        <f>IF(H$227=0,0,H118/H$227)</f>
        <v/>
      </c>
      <c r="W118" s="9">
        <f>IF(I$227=0,0,I118/I$227)</f>
        <v/>
      </c>
      <c r="X118" s="9">
        <f>IF(J$227=0,0,J118/J$227)</f>
        <v/>
      </c>
      <c r="Y118" s="9">
        <f>IF(K$227=0,0,K118/K$227)</f>
        <v/>
      </c>
      <c r="Z118" s="9">
        <f>IF(L$227=0,0,L118/L$227)</f>
        <v/>
      </c>
      <c r="AA118" s="9">
        <f>IF(M$227=0,0,M118/M$227)</f>
        <v/>
      </c>
      <c r="AB118" s="9">
        <f>AVERAGE(P118,Q118,S118)</f>
        <v/>
      </c>
    </row>
    <row r="119">
      <c r="A119" s="6">
        <f>'3_TF'!A119</f>
        <v/>
      </c>
      <c r="B119" s="9">
        <f>'3_TF'!B119*'4_IDF'!$E119</f>
        <v/>
      </c>
      <c r="C119" s="9">
        <f>'3_TF'!C119*'4_IDF'!$E119</f>
        <v/>
      </c>
      <c r="D119" s="9">
        <f>'3_TF'!D119*'4_IDF'!$E119</f>
        <v/>
      </c>
      <c r="E119" s="9">
        <f>'3_TF'!E119*'4_IDF'!$E119</f>
        <v/>
      </c>
      <c r="F119" s="9">
        <f>'3_TF'!F119*'4_IDF'!$E119</f>
        <v/>
      </c>
      <c r="G119" s="9">
        <f>'3_TF'!G119*'4_IDF'!$E119</f>
        <v/>
      </c>
      <c r="H119" s="9">
        <f>'3_TF'!H119*'4_IDF'!$E119</f>
        <v/>
      </c>
      <c r="I119" s="9">
        <f>'3_TF'!I119*'4_IDF'!$E119</f>
        <v/>
      </c>
      <c r="J119" s="9">
        <f>'3_TF'!J119*'4_IDF'!$E119</f>
        <v/>
      </c>
      <c r="K119" s="9">
        <f>'3_TF'!K119*'4_IDF'!$E119</f>
        <v/>
      </c>
      <c r="L119" s="9">
        <f>'3_TF'!L119*'4_IDF'!$E119</f>
        <v/>
      </c>
      <c r="M119" s="9">
        <f>'3_TF'!M119*'4_IDF'!$E119</f>
        <v/>
      </c>
      <c r="O119" s="6">
        <f>A119</f>
        <v/>
      </c>
      <c r="P119" s="9">
        <f>IF(B$227=0,0,B119/B$227)</f>
        <v/>
      </c>
      <c r="Q119" s="9">
        <f>IF(C$227=0,0,C119/C$227)</f>
        <v/>
      </c>
      <c r="R119" s="9">
        <f>IF(D$227=0,0,D119/D$227)</f>
        <v/>
      </c>
      <c r="S119" s="9">
        <f>IF(E$227=0,0,E119/E$227)</f>
        <v/>
      </c>
      <c r="T119" s="9">
        <f>IF(F$227=0,0,F119/F$227)</f>
        <v/>
      </c>
      <c r="U119" s="9">
        <f>IF(G$227=0,0,G119/G$227)</f>
        <v/>
      </c>
      <c r="V119" s="9">
        <f>IF(H$227=0,0,H119/H$227)</f>
        <v/>
      </c>
      <c r="W119" s="9">
        <f>IF(I$227=0,0,I119/I$227)</f>
        <v/>
      </c>
      <c r="X119" s="9">
        <f>IF(J$227=0,0,J119/J$227)</f>
        <v/>
      </c>
      <c r="Y119" s="9">
        <f>IF(K$227=0,0,K119/K$227)</f>
        <v/>
      </c>
      <c r="Z119" s="9">
        <f>IF(L$227=0,0,L119/L$227)</f>
        <v/>
      </c>
      <c r="AA119" s="9">
        <f>IF(M$227=0,0,M119/M$227)</f>
        <v/>
      </c>
      <c r="AB119" s="9">
        <f>AVERAGE(P119,Q119,S119)</f>
        <v/>
      </c>
    </row>
    <row r="120">
      <c r="A120" s="6">
        <f>'3_TF'!A120</f>
        <v/>
      </c>
      <c r="B120" s="9">
        <f>'3_TF'!B120*'4_IDF'!$E120</f>
        <v/>
      </c>
      <c r="C120" s="9">
        <f>'3_TF'!C120*'4_IDF'!$E120</f>
        <v/>
      </c>
      <c r="D120" s="9">
        <f>'3_TF'!D120*'4_IDF'!$E120</f>
        <v/>
      </c>
      <c r="E120" s="9">
        <f>'3_TF'!E120*'4_IDF'!$E120</f>
        <v/>
      </c>
      <c r="F120" s="9">
        <f>'3_TF'!F120*'4_IDF'!$E120</f>
        <v/>
      </c>
      <c r="G120" s="9">
        <f>'3_TF'!G120*'4_IDF'!$E120</f>
        <v/>
      </c>
      <c r="H120" s="9">
        <f>'3_TF'!H120*'4_IDF'!$E120</f>
        <v/>
      </c>
      <c r="I120" s="9">
        <f>'3_TF'!I120*'4_IDF'!$E120</f>
        <v/>
      </c>
      <c r="J120" s="9">
        <f>'3_TF'!J120*'4_IDF'!$E120</f>
        <v/>
      </c>
      <c r="K120" s="9">
        <f>'3_TF'!K120*'4_IDF'!$E120</f>
        <v/>
      </c>
      <c r="L120" s="9">
        <f>'3_TF'!L120*'4_IDF'!$E120</f>
        <v/>
      </c>
      <c r="M120" s="9">
        <f>'3_TF'!M120*'4_IDF'!$E120</f>
        <v/>
      </c>
      <c r="O120" s="6">
        <f>A120</f>
        <v/>
      </c>
      <c r="P120" s="9">
        <f>IF(B$227=0,0,B120/B$227)</f>
        <v/>
      </c>
      <c r="Q120" s="9">
        <f>IF(C$227=0,0,C120/C$227)</f>
        <v/>
      </c>
      <c r="R120" s="9">
        <f>IF(D$227=0,0,D120/D$227)</f>
        <v/>
      </c>
      <c r="S120" s="9">
        <f>IF(E$227=0,0,E120/E$227)</f>
        <v/>
      </c>
      <c r="T120" s="9">
        <f>IF(F$227=0,0,F120/F$227)</f>
        <v/>
      </c>
      <c r="U120" s="9">
        <f>IF(G$227=0,0,G120/G$227)</f>
        <v/>
      </c>
      <c r="V120" s="9">
        <f>IF(H$227=0,0,H120/H$227)</f>
        <v/>
      </c>
      <c r="W120" s="9">
        <f>IF(I$227=0,0,I120/I$227)</f>
        <v/>
      </c>
      <c r="X120" s="9">
        <f>IF(J$227=0,0,J120/J$227)</f>
        <v/>
      </c>
      <c r="Y120" s="9">
        <f>IF(K$227=0,0,K120/K$227)</f>
        <v/>
      </c>
      <c r="Z120" s="9">
        <f>IF(L$227=0,0,L120/L$227)</f>
        <v/>
      </c>
      <c r="AA120" s="9">
        <f>IF(M$227=0,0,M120/M$227)</f>
        <v/>
      </c>
      <c r="AB120" s="9">
        <f>AVERAGE(P120,Q120,S120)</f>
        <v/>
      </c>
    </row>
    <row r="121">
      <c r="A121" s="6">
        <f>'3_TF'!A121</f>
        <v/>
      </c>
      <c r="B121" s="9">
        <f>'3_TF'!B121*'4_IDF'!$E121</f>
        <v/>
      </c>
      <c r="C121" s="9">
        <f>'3_TF'!C121*'4_IDF'!$E121</f>
        <v/>
      </c>
      <c r="D121" s="9">
        <f>'3_TF'!D121*'4_IDF'!$E121</f>
        <v/>
      </c>
      <c r="E121" s="9">
        <f>'3_TF'!E121*'4_IDF'!$E121</f>
        <v/>
      </c>
      <c r="F121" s="9">
        <f>'3_TF'!F121*'4_IDF'!$E121</f>
        <v/>
      </c>
      <c r="G121" s="9">
        <f>'3_TF'!G121*'4_IDF'!$E121</f>
        <v/>
      </c>
      <c r="H121" s="9">
        <f>'3_TF'!H121*'4_IDF'!$E121</f>
        <v/>
      </c>
      <c r="I121" s="9">
        <f>'3_TF'!I121*'4_IDF'!$E121</f>
        <v/>
      </c>
      <c r="J121" s="9">
        <f>'3_TF'!J121*'4_IDF'!$E121</f>
        <v/>
      </c>
      <c r="K121" s="9">
        <f>'3_TF'!K121*'4_IDF'!$E121</f>
        <v/>
      </c>
      <c r="L121" s="9">
        <f>'3_TF'!L121*'4_IDF'!$E121</f>
        <v/>
      </c>
      <c r="M121" s="9">
        <f>'3_TF'!M121*'4_IDF'!$E121</f>
        <v/>
      </c>
      <c r="O121" s="6">
        <f>A121</f>
        <v/>
      </c>
      <c r="P121" s="9">
        <f>IF(B$227=0,0,B121/B$227)</f>
        <v/>
      </c>
      <c r="Q121" s="9">
        <f>IF(C$227=0,0,C121/C$227)</f>
        <v/>
      </c>
      <c r="R121" s="9">
        <f>IF(D$227=0,0,D121/D$227)</f>
        <v/>
      </c>
      <c r="S121" s="9">
        <f>IF(E$227=0,0,E121/E$227)</f>
        <v/>
      </c>
      <c r="T121" s="9">
        <f>IF(F$227=0,0,F121/F$227)</f>
        <v/>
      </c>
      <c r="U121" s="9">
        <f>IF(G$227=0,0,G121/G$227)</f>
        <v/>
      </c>
      <c r="V121" s="9">
        <f>IF(H$227=0,0,H121/H$227)</f>
        <v/>
      </c>
      <c r="W121" s="9">
        <f>IF(I$227=0,0,I121/I$227)</f>
        <v/>
      </c>
      <c r="X121" s="9">
        <f>IF(J$227=0,0,J121/J$227)</f>
        <v/>
      </c>
      <c r="Y121" s="9">
        <f>IF(K$227=0,0,K121/K$227)</f>
        <v/>
      </c>
      <c r="Z121" s="9">
        <f>IF(L$227=0,0,L121/L$227)</f>
        <v/>
      </c>
      <c r="AA121" s="9">
        <f>IF(M$227=0,0,M121/M$227)</f>
        <v/>
      </c>
      <c r="AB121" s="9">
        <f>AVERAGE(P121,Q121,S121)</f>
        <v/>
      </c>
    </row>
    <row r="122">
      <c r="A122" s="6">
        <f>'3_TF'!A122</f>
        <v/>
      </c>
      <c r="B122" s="9">
        <f>'3_TF'!B122*'4_IDF'!$E122</f>
        <v/>
      </c>
      <c r="C122" s="9">
        <f>'3_TF'!C122*'4_IDF'!$E122</f>
        <v/>
      </c>
      <c r="D122" s="9">
        <f>'3_TF'!D122*'4_IDF'!$E122</f>
        <v/>
      </c>
      <c r="E122" s="9">
        <f>'3_TF'!E122*'4_IDF'!$E122</f>
        <v/>
      </c>
      <c r="F122" s="9">
        <f>'3_TF'!F122*'4_IDF'!$E122</f>
        <v/>
      </c>
      <c r="G122" s="9">
        <f>'3_TF'!G122*'4_IDF'!$E122</f>
        <v/>
      </c>
      <c r="H122" s="9">
        <f>'3_TF'!H122*'4_IDF'!$E122</f>
        <v/>
      </c>
      <c r="I122" s="9">
        <f>'3_TF'!I122*'4_IDF'!$E122</f>
        <v/>
      </c>
      <c r="J122" s="9">
        <f>'3_TF'!J122*'4_IDF'!$E122</f>
        <v/>
      </c>
      <c r="K122" s="9">
        <f>'3_TF'!K122*'4_IDF'!$E122</f>
        <v/>
      </c>
      <c r="L122" s="9">
        <f>'3_TF'!L122*'4_IDF'!$E122</f>
        <v/>
      </c>
      <c r="M122" s="9">
        <f>'3_TF'!M122*'4_IDF'!$E122</f>
        <v/>
      </c>
      <c r="O122" s="6">
        <f>A122</f>
        <v/>
      </c>
      <c r="P122" s="9">
        <f>IF(B$227=0,0,B122/B$227)</f>
        <v/>
      </c>
      <c r="Q122" s="9">
        <f>IF(C$227=0,0,C122/C$227)</f>
        <v/>
      </c>
      <c r="R122" s="9">
        <f>IF(D$227=0,0,D122/D$227)</f>
        <v/>
      </c>
      <c r="S122" s="9">
        <f>IF(E$227=0,0,E122/E$227)</f>
        <v/>
      </c>
      <c r="T122" s="9">
        <f>IF(F$227=0,0,F122/F$227)</f>
        <v/>
      </c>
      <c r="U122" s="9">
        <f>IF(G$227=0,0,G122/G$227)</f>
        <v/>
      </c>
      <c r="V122" s="9">
        <f>IF(H$227=0,0,H122/H$227)</f>
        <v/>
      </c>
      <c r="W122" s="9">
        <f>IF(I$227=0,0,I122/I$227)</f>
        <v/>
      </c>
      <c r="X122" s="9">
        <f>IF(J$227=0,0,J122/J$227)</f>
        <v/>
      </c>
      <c r="Y122" s="9">
        <f>IF(K$227=0,0,K122/K$227)</f>
        <v/>
      </c>
      <c r="Z122" s="9">
        <f>IF(L$227=0,0,L122/L$227)</f>
        <v/>
      </c>
      <c r="AA122" s="9">
        <f>IF(M$227=0,0,M122/M$227)</f>
        <v/>
      </c>
      <c r="AB122" s="9">
        <f>AVERAGE(P122,Q122,S122)</f>
        <v/>
      </c>
    </row>
    <row r="123">
      <c r="A123" s="6">
        <f>'3_TF'!A123</f>
        <v/>
      </c>
      <c r="B123" s="9">
        <f>'3_TF'!B123*'4_IDF'!$E123</f>
        <v/>
      </c>
      <c r="C123" s="9">
        <f>'3_TF'!C123*'4_IDF'!$E123</f>
        <v/>
      </c>
      <c r="D123" s="9">
        <f>'3_TF'!D123*'4_IDF'!$E123</f>
        <v/>
      </c>
      <c r="E123" s="9">
        <f>'3_TF'!E123*'4_IDF'!$E123</f>
        <v/>
      </c>
      <c r="F123" s="9">
        <f>'3_TF'!F123*'4_IDF'!$E123</f>
        <v/>
      </c>
      <c r="G123" s="9">
        <f>'3_TF'!G123*'4_IDF'!$E123</f>
        <v/>
      </c>
      <c r="H123" s="9">
        <f>'3_TF'!H123*'4_IDF'!$E123</f>
        <v/>
      </c>
      <c r="I123" s="9">
        <f>'3_TF'!I123*'4_IDF'!$E123</f>
        <v/>
      </c>
      <c r="J123" s="9">
        <f>'3_TF'!J123*'4_IDF'!$E123</f>
        <v/>
      </c>
      <c r="K123" s="9">
        <f>'3_TF'!K123*'4_IDF'!$E123</f>
        <v/>
      </c>
      <c r="L123" s="9">
        <f>'3_TF'!L123*'4_IDF'!$E123</f>
        <v/>
      </c>
      <c r="M123" s="9">
        <f>'3_TF'!M123*'4_IDF'!$E123</f>
        <v/>
      </c>
      <c r="O123" s="6">
        <f>A123</f>
        <v/>
      </c>
      <c r="P123" s="9">
        <f>IF(B$227=0,0,B123/B$227)</f>
        <v/>
      </c>
      <c r="Q123" s="9">
        <f>IF(C$227=0,0,C123/C$227)</f>
        <v/>
      </c>
      <c r="R123" s="9">
        <f>IF(D$227=0,0,D123/D$227)</f>
        <v/>
      </c>
      <c r="S123" s="9">
        <f>IF(E$227=0,0,E123/E$227)</f>
        <v/>
      </c>
      <c r="T123" s="9">
        <f>IF(F$227=0,0,F123/F$227)</f>
        <v/>
      </c>
      <c r="U123" s="9">
        <f>IF(G$227=0,0,G123/G$227)</f>
        <v/>
      </c>
      <c r="V123" s="9">
        <f>IF(H$227=0,0,H123/H$227)</f>
        <v/>
      </c>
      <c r="W123" s="9">
        <f>IF(I$227=0,0,I123/I$227)</f>
        <v/>
      </c>
      <c r="X123" s="9">
        <f>IF(J$227=0,0,J123/J$227)</f>
        <v/>
      </c>
      <c r="Y123" s="9">
        <f>IF(K$227=0,0,K123/K$227)</f>
        <v/>
      </c>
      <c r="Z123" s="9">
        <f>IF(L$227=0,0,L123/L$227)</f>
        <v/>
      </c>
      <c r="AA123" s="9">
        <f>IF(M$227=0,0,M123/M$227)</f>
        <v/>
      </c>
      <c r="AB123" s="9">
        <f>AVERAGE(P123,Q123,S123)</f>
        <v/>
      </c>
    </row>
    <row r="124">
      <c r="A124" s="6">
        <f>'3_TF'!A124</f>
        <v/>
      </c>
      <c r="B124" s="9">
        <f>'3_TF'!B124*'4_IDF'!$E124</f>
        <v/>
      </c>
      <c r="C124" s="9">
        <f>'3_TF'!C124*'4_IDF'!$E124</f>
        <v/>
      </c>
      <c r="D124" s="9">
        <f>'3_TF'!D124*'4_IDF'!$E124</f>
        <v/>
      </c>
      <c r="E124" s="9">
        <f>'3_TF'!E124*'4_IDF'!$E124</f>
        <v/>
      </c>
      <c r="F124" s="9">
        <f>'3_TF'!F124*'4_IDF'!$E124</f>
        <v/>
      </c>
      <c r="G124" s="9">
        <f>'3_TF'!G124*'4_IDF'!$E124</f>
        <v/>
      </c>
      <c r="H124" s="9">
        <f>'3_TF'!H124*'4_IDF'!$E124</f>
        <v/>
      </c>
      <c r="I124" s="9">
        <f>'3_TF'!I124*'4_IDF'!$E124</f>
        <v/>
      </c>
      <c r="J124" s="9">
        <f>'3_TF'!J124*'4_IDF'!$E124</f>
        <v/>
      </c>
      <c r="K124" s="9">
        <f>'3_TF'!K124*'4_IDF'!$E124</f>
        <v/>
      </c>
      <c r="L124" s="9">
        <f>'3_TF'!L124*'4_IDF'!$E124</f>
        <v/>
      </c>
      <c r="M124" s="9">
        <f>'3_TF'!M124*'4_IDF'!$E124</f>
        <v/>
      </c>
      <c r="O124" s="6">
        <f>A124</f>
        <v/>
      </c>
      <c r="P124" s="9">
        <f>IF(B$227=0,0,B124/B$227)</f>
        <v/>
      </c>
      <c r="Q124" s="9">
        <f>IF(C$227=0,0,C124/C$227)</f>
        <v/>
      </c>
      <c r="R124" s="9">
        <f>IF(D$227=0,0,D124/D$227)</f>
        <v/>
      </c>
      <c r="S124" s="9">
        <f>IF(E$227=0,0,E124/E$227)</f>
        <v/>
      </c>
      <c r="T124" s="9">
        <f>IF(F$227=0,0,F124/F$227)</f>
        <v/>
      </c>
      <c r="U124" s="9">
        <f>IF(G$227=0,0,G124/G$227)</f>
        <v/>
      </c>
      <c r="V124" s="9">
        <f>IF(H$227=0,0,H124/H$227)</f>
        <v/>
      </c>
      <c r="W124" s="9">
        <f>IF(I$227=0,0,I124/I$227)</f>
        <v/>
      </c>
      <c r="X124" s="9">
        <f>IF(J$227=0,0,J124/J$227)</f>
        <v/>
      </c>
      <c r="Y124" s="9">
        <f>IF(K$227=0,0,K124/K$227)</f>
        <v/>
      </c>
      <c r="Z124" s="9">
        <f>IF(L$227=0,0,L124/L$227)</f>
        <v/>
      </c>
      <c r="AA124" s="9">
        <f>IF(M$227=0,0,M124/M$227)</f>
        <v/>
      </c>
      <c r="AB124" s="9">
        <f>AVERAGE(P124,Q124,S124)</f>
        <v/>
      </c>
    </row>
    <row r="125">
      <c r="A125" s="6">
        <f>'3_TF'!A125</f>
        <v/>
      </c>
      <c r="B125" s="9">
        <f>'3_TF'!B125*'4_IDF'!$E125</f>
        <v/>
      </c>
      <c r="C125" s="9">
        <f>'3_TF'!C125*'4_IDF'!$E125</f>
        <v/>
      </c>
      <c r="D125" s="9">
        <f>'3_TF'!D125*'4_IDF'!$E125</f>
        <v/>
      </c>
      <c r="E125" s="9">
        <f>'3_TF'!E125*'4_IDF'!$E125</f>
        <v/>
      </c>
      <c r="F125" s="9">
        <f>'3_TF'!F125*'4_IDF'!$E125</f>
        <v/>
      </c>
      <c r="G125" s="9">
        <f>'3_TF'!G125*'4_IDF'!$E125</f>
        <v/>
      </c>
      <c r="H125" s="9">
        <f>'3_TF'!H125*'4_IDF'!$E125</f>
        <v/>
      </c>
      <c r="I125" s="9">
        <f>'3_TF'!I125*'4_IDF'!$E125</f>
        <v/>
      </c>
      <c r="J125" s="9">
        <f>'3_TF'!J125*'4_IDF'!$E125</f>
        <v/>
      </c>
      <c r="K125" s="9">
        <f>'3_TF'!K125*'4_IDF'!$E125</f>
        <v/>
      </c>
      <c r="L125" s="9">
        <f>'3_TF'!L125*'4_IDF'!$E125</f>
        <v/>
      </c>
      <c r="M125" s="9">
        <f>'3_TF'!M125*'4_IDF'!$E125</f>
        <v/>
      </c>
      <c r="O125" s="6">
        <f>A125</f>
        <v/>
      </c>
      <c r="P125" s="9">
        <f>IF(B$227=0,0,B125/B$227)</f>
        <v/>
      </c>
      <c r="Q125" s="9">
        <f>IF(C$227=0,0,C125/C$227)</f>
        <v/>
      </c>
      <c r="R125" s="9">
        <f>IF(D$227=0,0,D125/D$227)</f>
        <v/>
      </c>
      <c r="S125" s="9">
        <f>IF(E$227=0,0,E125/E$227)</f>
        <v/>
      </c>
      <c r="T125" s="9">
        <f>IF(F$227=0,0,F125/F$227)</f>
        <v/>
      </c>
      <c r="U125" s="9">
        <f>IF(G$227=0,0,G125/G$227)</f>
        <v/>
      </c>
      <c r="V125" s="9">
        <f>IF(H$227=0,0,H125/H$227)</f>
        <v/>
      </c>
      <c r="W125" s="9">
        <f>IF(I$227=0,0,I125/I$227)</f>
        <v/>
      </c>
      <c r="X125" s="9">
        <f>IF(J$227=0,0,J125/J$227)</f>
        <v/>
      </c>
      <c r="Y125" s="9">
        <f>IF(K$227=0,0,K125/K$227)</f>
        <v/>
      </c>
      <c r="Z125" s="9">
        <f>IF(L$227=0,0,L125/L$227)</f>
        <v/>
      </c>
      <c r="AA125" s="9">
        <f>IF(M$227=0,0,M125/M$227)</f>
        <v/>
      </c>
      <c r="AB125" s="9">
        <f>AVERAGE(P125,Q125,S125)</f>
        <v/>
      </c>
    </row>
    <row r="126">
      <c r="A126" s="6">
        <f>'3_TF'!A126</f>
        <v/>
      </c>
      <c r="B126" s="9">
        <f>'3_TF'!B126*'4_IDF'!$E126</f>
        <v/>
      </c>
      <c r="C126" s="9">
        <f>'3_TF'!C126*'4_IDF'!$E126</f>
        <v/>
      </c>
      <c r="D126" s="9">
        <f>'3_TF'!D126*'4_IDF'!$E126</f>
        <v/>
      </c>
      <c r="E126" s="9">
        <f>'3_TF'!E126*'4_IDF'!$E126</f>
        <v/>
      </c>
      <c r="F126" s="9">
        <f>'3_TF'!F126*'4_IDF'!$E126</f>
        <v/>
      </c>
      <c r="G126" s="9">
        <f>'3_TF'!G126*'4_IDF'!$E126</f>
        <v/>
      </c>
      <c r="H126" s="9">
        <f>'3_TF'!H126*'4_IDF'!$E126</f>
        <v/>
      </c>
      <c r="I126" s="9">
        <f>'3_TF'!I126*'4_IDF'!$E126</f>
        <v/>
      </c>
      <c r="J126" s="9">
        <f>'3_TF'!J126*'4_IDF'!$E126</f>
        <v/>
      </c>
      <c r="K126" s="9">
        <f>'3_TF'!K126*'4_IDF'!$E126</f>
        <v/>
      </c>
      <c r="L126" s="9">
        <f>'3_TF'!L126*'4_IDF'!$E126</f>
        <v/>
      </c>
      <c r="M126" s="9">
        <f>'3_TF'!M126*'4_IDF'!$E126</f>
        <v/>
      </c>
      <c r="O126" s="6">
        <f>A126</f>
        <v/>
      </c>
      <c r="P126" s="9">
        <f>IF(B$227=0,0,B126/B$227)</f>
        <v/>
      </c>
      <c r="Q126" s="9">
        <f>IF(C$227=0,0,C126/C$227)</f>
        <v/>
      </c>
      <c r="R126" s="9">
        <f>IF(D$227=0,0,D126/D$227)</f>
        <v/>
      </c>
      <c r="S126" s="9">
        <f>IF(E$227=0,0,E126/E$227)</f>
        <v/>
      </c>
      <c r="T126" s="9">
        <f>IF(F$227=0,0,F126/F$227)</f>
        <v/>
      </c>
      <c r="U126" s="9">
        <f>IF(G$227=0,0,G126/G$227)</f>
        <v/>
      </c>
      <c r="V126" s="9">
        <f>IF(H$227=0,0,H126/H$227)</f>
        <v/>
      </c>
      <c r="W126" s="9">
        <f>IF(I$227=0,0,I126/I$227)</f>
        <v/>
      </c>
      <c r="X126" s="9">
        <f>IF(J$227=0,0,J126/J$227)</f>
        <v/>
      </c>
      <c r="Y126" s="9">
        <f>IF(K$227=0,0,K126/K$227)</f>
        <v/>
      </c>
      <c r="Z126" s="9">
        <f>IF(L$227=0,0,L126/L$227)</f>
        <v/>
      </c>
      <c r="AA126" s="9">
        <f>IF(M$227=0,0,M126/M$227)</f>
        <v/>
      </c>
      <c r="AB126" s="9">
        <f>AVERAGE(P126,Q126,S126)</f>
        <v/>
      </c>
    </row>
    <row r="127">
      <c r="A127" s="6">
        <f>'3_TF'!A127</f>
        <v/>
      </c>
      <c r="B127" s="9">
        <f>'3_TF'!B127*'4_IDF'!$E127</f>
        <v/>
      </c>
      <c r="C127" s="9">
        <f>'3_TF'!C127*'4_IDF'!$E127</f>
        <v/>
      </c>
      <c r="D127" s="9">
        <f>'3_TF'!D127*'4_IDF'!$E127</f>
        <v/>
      </c>
      <c r="E127" s="9">
        <f>'3_TF'!E127*'4_IDF'!$E127</f>
        <v/>
      </c>
      <c r="F127" s="9">
        <f>'3_TF'!F127*'4_IDF'!$E127</f>
        <v/>
      </c>
      <c r="G127" s="9">
        <f>'3_TF'!G127*'4_IDF'!$E127</f>
        <v/>
      </c>
      <c r="H127" s="9">
        <f>'3_TF'!H127*'4_IDF'!$E127</f>
        <v/>
      </c>
      <c r="I127" s="9">
        <f>'3_TF'!I127*'4_IDF'!$E127</f>
        <v/>
      </c>
      <c r="J127" s="9">
        <f>'3_TF'!J127*'4_IDF'!$E127</f>
        <v/>
      </c>
      <c r="K127" s="9">
        <f>'3_TF'!K127*'4_IDF'!$E127</f>
        <v/>
      </c>
      <c r="L127" s="9">
        <f>'3_TF'!L127*'4_IDF'!$E127</f>
        <v/>
      </c>
      <c r="M127" s="9">
        <f>'3_TF'!M127*'4_IDF'!$E127</f>
        <v/>
      </c>
      <c r="O127" s="6">
        <f>A127</f>
        <v/>
      </c>
      <c r="P127" s="9">
        <f>IF(B$227=0,0,B127/B$227)</f>
        <v/>
      </c>
      <c r="Q127" s="9">
        <f>IF(C$227=0,0,C127/C$227)</f>
        <v/>
      </c>
      <c r="R127" s="9">
        <f>IF(D$227=0,0,D127/D$227)</f>
        <v/>
      </c>
      <c r="S127" s="9">
        <f>IF(E$227=0,0,E127/E$227)</f>
        <v/>
      </c>
      <c r="T127" s="9">
        <f>IF(F$227=0,0,F127/F$227)</f>
        <v/>
      </c>
      <c r="U127" s="9">
        <f>IF(G$227=0,0,G127/G$227)</f>
        <v/>
      </c>
      <c r="V127" s="9">
        <f>IF(H$227=0,0,H127/H$227)</f>
        <v/>
      </c>
      <c r="W127" s="9">
        <f>IF(I$227=0,0,I127/I$227)</f>
        <v/>
      </c>
      <c r="X127" s="9">
        <f>IF(J$227=0,0,J127/J$227)</f>
        <v/>
      </c>
      <c r="Y127" s="9">
        <f>IF(K$227=0,0,K127/K$227)</f>
        <v/>
      </c>
      <c r="Z127" s="9">
        <f>IF(L$227=0,0,L127/L$227)</f>
        <v/>
      </c>
      <c r="AA127" s="9">
        <f>IF(M$227=0,0,M127/M$227)</f>
        <v/>
      </c>
      <c r="AB127" s="9">
        <f>AVERAGE(P127,Q127,S127)</f>
        <v/>
      </c>
    </row>
    <row r="128">
      <c r="A128" s="6">
        <f>'3_TF'!A128</f>
        <v/>
      </c>
      <c r="B128" s="9">
        <f>'3_TF'!B128*'4_IDF'!$E128</f>
        <v/>
      </c>
      <c r="C128" s="9">
        <f>'3_TF'!C128*'4_IDF'!$E128</f>
        <v/>
      </c>
      <c r="D128" s="9">
        <f>'3_TF'!D128*'4_IDF'!$E128</f>
        <v/>
      </c>
      <c r="E128" s="9">
        <f>'3_TF'!E128*'4_IDF'!$E128</f>
        <v/>
      </c>
      <c r="F128" s="9">
        <f>'3_TF'!F128*'4_IDF'!$E128</f>
        <v/>
      </c>
      <c r="G128" s="9">
        <f>'3_TF'!G128*'4_IDF'!$E128</f>
        <v/>
      </c>
      <c r="H128" s="9">
        <f>'3_TF'!H128*'4_IDF'!$E128</f>
        <v/>
      </c>
      <c r="I128" s="9">
        <f>'3_TF'!I128*'4_IDF'!$E128</f>
        <v/>
      </c>
      <c r="J128" s="9">
        <f>'3_TF'!J128*'4_IDF'!$E128</f>
        <v/>
      </c>
      <c r="K128" s="9">
        <f>'3_TF'!K128*'4_IDF'!$E128</f>
        <v/>
      </c>
      <c r="L128" s="9">
        <f>'3_TF'!L128*'4_IDF'!$E128</f>
        <v/>
      </c>
      <c r="M128" s="9">
        <f>'3_TF'!M128*'4_IDF'!$E128</f>
        <v/>
      </c>
      <c r="O128" s="6">
        <f>A128</f>
        <v/>
      </c>
      <c r="P128" s="9">
        <f>IF(B$227=0,0,B128/B$227)</f>
        <v/>
      </c>
      <c r="Q128" s="9">
        <f>IF(C$227=0,0,C128/C$227)</f>
        <v/>
      </c>
      <c r="R128" s="9">
        <f>IF(D$227=0,0,D128/D$227)</f>
        <v/>
      </c>
      <c r="S128" s="9">
        <f>IF(E$227=0,0,E128/E$227)</f>
        <v/>
      </c>
      <c r="T128" s="9">
        <f>IF(F$227=0,0,F128/F$227)</f>
        <v/>
      </c>
      <c r="U128" s="9">
        <f>IF(G$227=0,0,G128/G$227)</f>
        <v/>
      </c>
      <c r="V128" s="9">
        <f>IF(H$227=0,0,H128/H$227)</f>
        <v/>
      </c>
      <c r="W128" s="9">
        <f>IF(I$227=0,0,I128/I$227)</f>
        <v/>
      </c>
      <c r="X128" s="9">
        <f>IF(J$227=0,0,J128/J$227)</f>
        <v/>
      </c>
      <c r="Y128" s="9">
        <f>IF(K$227=0,0,K128/K$227)</f>
        <v/>
      </c>
      <c r="Z128" s="9">
        <f>IF(L$227=0,0,L128/L$227)</f>
        <v/>
      </c>
      <c r="AA128" s="9">
        <f>IF(M$227=0,0,M128/M$227)</f>
        <v/>
      </c>
      <c r="AB128" s="9">
        <f>AVERAGE(P128,Q128,S128)</f>
        <v/>
      </c>
    </row>
    <row r="129">
      <c r="A129" s="6">
        <f>'3_TF'!A129</f>
        <v/>
      </c>
      <c r="B129" s="9">
        <f>'3_TF'!B129*'4_IDF'!$E129</f>
        <v/>
      </c>
      <c r="C129" s="9">
        <f>'3_TF'!C129*'4_IDF'!$E129</f>
        <v/>
      </c>
      <c r="D129" s="9">
        <f>'3_TF'!D129*'4_IDF'!$E129</f>
        <v/>
      </c>
      <c r="E129" s="9">
        <f>'3_TF'!E129*'4_IDF'!$E129</f>
        <v/>
      </c>
      <c r="F129" s="9">
        <f>'3_TF'!F129*'4_IDF'!$E129</f>
        <v/>
      </c>
      <c r="G129" s="9">
        <f>'3_TF'!G129*'4_IDF'!$E129</f>
        <v/>
      </c>
      <c r="H129" s="9">
        <f>'3_TF'!H129*'4_IDF'!$E129</f>
        <v/>
      </c>
      <c r="I129" s="9">
        <f>'3_TF'!I129*'4_IDF'!$E129</f>
        <v/>
      </c>
      <c r="J129" s="9">
        <f>'3_TF'!J129*'4_IDF'!$E129</f>
        <v/>
      </c>
      <c r="K129" s="9">
        <f>'3_TF'!K129*'4_IDF'!$E129</f>
        <v/>
      </c>
      <c r="L129" s="9">
        <f>'3_TF'!L129*'4_IDF'!$E129</f>
        <v/>
      </c>
      <c r="M129" s="9">
        <f>'3_TF'!M129*'4_IDF'!$E129</f>
        <v/>
      </c>
      <c r="O129" s="6">
        <f>A129</f>
        <v/>
      </c>
      <c r="P129" s="9">
        <f>IF(B$227=0,0,B129/B$227)</f>
        <v/>
      </c>
      <c r="Q129" s="9">
        <f>IF(C$227=0,0,C129/C$227)</f>
        <v/>
      </c>
      <c r="R129" s="9">
        <f>IF(D$227=0,0,D129/D$227)</f>
        <v/>
      </c>
      <c r="S129" s="9">
        <f>IF(E$227=0,0,E129/E$227)</f>
        <v/>
      </c>
      <c r="T129" s="9">
        <f>IF(F$227=0,0,F129/F$227)</f>
        <v/>
      </c>
      <c r="U129" s="9">
        <f>IF(G$227=0,0,G129/G$227)</f>
        <v/>
      </c>
      <c r="V129" s="9">
        <f>IF(H$227=0,0,H129/H$227)</f>
        <v/>
      </c>
      <c r="W129" s="9">
        <f>IF(I$227=0,0,I129/I$227)</f>
        <v/>
      </c>
      <c r="X129" s="9">
        <f>IF(J$227=0,0,J129/J$227)</f>
        <v/>
      </c>
      <c r="Y129" s="9">
        <f>IF(K$227=0,0,K129/K$227)</f>
        <v/>
      </c>
      <c r="Z129" s="9">
        <f>IF(L$227=0,0,L129/L$227)</f>
        <v/>
      </c>
      <c r="AA129" s="9">
        <f>IF(M$227=0,0,M129/M$227)</f>
        <v/>
      </c>
      <c r="AB129" s="9">
        <f>AVERAGE(P129,Q129,S129)</f>
        <v/>
      </c>
    </row>
    <row r="130">
      <c r="A130" s="6">
        <f>'3_TF'!A130</f>
        <v/>
      </c>
      <c r="B130" s="9">
        <f>'3_TF'!B130*'4_IDF'!$E130</f>
        <v/>
      </c>
      <c r="C130" s="9">
        <f>'3_TF'!C130*'4_IDF'!$E130</f>
        <v/>
      </c>
      <c r="D130" s="9">
        <f>'3_TF'!D130*'4_IDF'!$E130</f>
        <v/>
      </c>
      <c r="E130" s="9">
        <f>'3_TF'!E130*'4_IDF'!$E130</f>
        <v/>
      </c>
      <c r="F130" s="9">
        <f>'3_TF'!F130*'4_IDF'!$E130</f>
        <v/>
      </c>
      <c r="G130" s="9">
        <f>'3_TF'!G130*'4_IDF'!$E130</f>
        <v/>
      </c>
      <c r="H130" s="9">
        <f>'3_TF'!H130*'4_IDF'!$E130</f>
        <v/>
      </c>
      <c r="I130" s="9">
        <f>'3_TF'!I130*'4_IDF'!$E130</f>
        <v/>
      </c>
      <c r="J130" s="9">
        <f>'3_TF'!J130*'4_IDF'!$E130</f>
        <v/>
      </c>
      <c r="K130" s="9">
        <f>'3_TF'!K130*'4_IDF'!$E130</f>
        <v/>
      </c>
      <c r="L130" s="9">
        <f>'3_TF'!L130*'4_IDF'!$E130</f>
        <v/>
      </c>
      <c r="M130" s="9">
        <f>'3_TF'!M130*'4_IDF'!$E130</f>
        <v/>
      </c>
      <c r="O130" s="6">
        <f>A130</f>
        <v/>
      </c>
      <c r="P130" s="9">
        <f>IF(B$227=0,0,B130/B$227)</f>
        <v/>
      </c>
      <c r="Q130" s="9">
        <f>IF(C$227=0,0,C130/C$227)</f>
        <v/>
      </c>
      <c r="R130" s="9">
        <f>IF(D$227=0,0,D130/D$227)</f>
        <v/>
      </c>
      <c r="S130" s="9">
        <f>IF(E$227=0,0,E130/E$227)</f>
        <v/>
      </c>
      <c r="T130" s="9">
        <f>IF(F$227=0,0,F130/F$227)</f>
        <v/>
      </c>
      <c r="U130" s="9">
        <f>IF(G$227=0,0,G130/G$227)</f>
        <v/>
      </c>
      <c r="V130" s="9">
        <f>IF(H$227=0,0,H130/H$227)</f>
        <v/>
      </c>
      <c r="W130" s="9">
        <f>IF(I$227=0,0,I130/I$227)</f>
        <v/>
      </c>
      <c r="X130" s="9">
        <f>IF(J$227=0,0,J130/J$227)</f>
        <v/>
      </c>
      <c r="Y130" s="9">
        <f>IF(K$227=0,0,K130/K$227)</f>
        <v/>
      </c>
      <c r="Z130" s="9">
        <f>IF(L$227=0,0,L130/L$227)</f>
        <v/>
      </c>
      <c r="AA130" s="9">
        <f>IF(M$227=0,0,M130/M$227)</f>
        <v/>
      </c>
      <c r="AB130" s="9">
        <f>AVERAGE(P130,Q130,S130)</f>
        <v/>
      </c>
    </row>
    <row r="131">
      <c r="A131" s="6">
        <f>'3_TF'!A131</f>
        <v/>
      </c>
      <c r="B131" s="9">
        <f>'3_TF'!B131*'4_IDF'!$E131</f>
        <v/>
      </c>
      <c r="C131" s="9">
        <f>'3_TF'!C131*'4_IDF'!$E131</f>
        <v/>
      </c>
      <c r="D131" s="9">
        <f>'3_TF'!D131*'4_IDF'!$E131</f>
        <v/>
      </c>
      <c r="E131" s="9">
        <f>'3_TF'!E131*'4_IDF'!$E131</f>
        <v/>
      </c>
      <c r="F131" s="9">
        <f>'3_TF'!F131*'4_IDF'!$E131</f>
        <v/>
      </c>
      <c r="G131" s="9">
        <f>'3_TF'!G131*'4_IDF'!$E131</f>
        <v/>
      </c>
      <c r="H131" s="9">
        <f>'3_TF'!H131*'4_IDF'!$E131</f>
        <v/>
      </c>
      <c r="I131" s="9">
        <f>'3_TF'!I131*'4_IDF'!$E131</f>
        <v/>
      </c>
      <c r="J131" s="9">
        <f>'3_TF'!J131*'4_IDF'!$E131</f>
        <v/>
      </c>
      <c r="K131" s="9">
        <f>'3_TF'!K131*'4_IDF'!$E131</f>
        <v/>
      </c>
      <c r="L131" s="9">
        <f>'3_TF'!L131*'4_IDF'!$E131</f>
        <v/>
      </c>
      <c r="M131" s="9">
        <f>'3_TF'!M131*'4_IDF'!$E131</f>
        <v/>
      </c>
      <c r="O131" s="6">
        <f>A131</f>
        <v/>
      </c>
      <c r="P131" s="9">
        <f>IF(B$227=0,0,B131/B$227)</f>
        <v/>
      </c>
      <c r="Q131" s="9">
        <f>IF(C$227=0,0,C131/C$227)</f>
        <v/>
      </c>
      <c r="R131" s="9">
        <f>IF(D$227=0,0,D131/D$227)</f>
        <v/>
      </c>
      <c r="S131" s="9">
        <f>IF(E$227=0,0,E131/E$227)</f>
        <v/>
      </c>
      <c r="T131" s="9">
        <f>IF(F$227=0,0,F131/F$227)</f>
        <v/>
      </c>
      <c r="U131" s="9">
        <f>IF(G$227=0,0,G131/G$227)</f>
        <v/>
      </c>
      <c r="V131" s="9">
        <f>IF(H$227=0,0,H131/H$227)</f>
        <v/>
      </c>
      <c r="W131" s="9">
        <f>IF(I$227=0,0,I131/I$227)</f>
        <v/>
      </c>
      <c r="X131" s="9">
        <f>IF(J$227=0,0,J131/J$227)</f>
        <v/>
      </c>
      <c r="Y131" s="9">
        <f>IF(K$227=0,0,K131/K$227)</f>
        <v/>
      </c>
      <c r="Z131" s="9">
        <f>IF(L$227=0,0,L131/L$227)</f>
        <v/>
      </c>
      <c r="AA131" s="9">
        <f>IF(M$227=0,0,M131/M$227)</f>
        <v/>
      </c>
      <c r="AB131" s="9">
        <f>AVERAGE(P131,Q131,S131)</f>
        <v/>
      </c>
    </row>
    <row r="132">
      <c r="A132" s="6">
        <f>'3_TF'!A132</f>
        <v/>
      </c>
      <c r="B132" s="9">
        <f>'3_TF'!B132*'4_IDF'!$E132</f>
        <v/>
      </c>
      <c r="C132" s="9">
        <f>'3_TF'!C132*'4_IDF'!$E132</f>
        <v/>
      </c>
      <c r="D132" s="9">
        <f>'3_TF'!D132*'4_IDF'!$E132</f>
        <v/>
      </c>
      <c r="E132" s="9">
        <f>'3_TF'!E132*'4_IDF'!$E132</f>
        <v/>
      </c>
      <c r="F132" s="9">
        <f>'3_TF'!F132*'4_IDF'!$E132</f>
        <v/>
      </c>
      <c r="G132" s="9">
        <f>'3_TF'!G132*'4_IDF'!$E132</f>
        <v/>
      </c>
      <c r="H132" s="9">
        <f>'3_TF'!H132*'4_IDF'!$E132</f>
        <v/>
      </c>
      <c r="I132" s="9">
        <f>'3_TF'!I132*'4_IDF'!$E132</f>
        <v/>
      </c>
      <c r="J132" s="9">
        <f>'3_TF'!J132*'4_IDF'!$E132</f>
        <v/>
      </c>
      <c r="K132" s="9">
        <f>'3_TF'!K132*'4_IDF'!$E132</f>
        <v/>
      </c>
      <c r="L132" s="9">
        <f>'3_TF'!L132*'4_IDF'!$E132</f>
        <v/>
      </c>
      <c r="M132" s="9">
        <f>'3_TF'!M132*'4_IDF'!$E132</f>
        <v/>
      </c>
      <c r="O132" s="6">
        <f>A132</f>
        <v/>
      </c>
      <c r="P132" s="9">
        <f>IF(B$227=0,0,B132/B$227)</f>
        <v/>
      </c>
      <c r="Q132" s="9">
        <f>IF(C$227=0,0,C132/C$227)</f>
        <v/>
      </c>
      <c r="R132" s="9">
        <f>IF(D$227=0,0,D132/D$227)</f>
        <v/>
      </c>
      <c r="S132" s="9">
        <f>IF(E$227=0,0,E132/E$227)</f>
        <v/>
      </c>
      <c r="T132" s="9">
        <f>IF(F$227=0,0,F132/F$227)</f>
        <v/>
      </c>
      <c r="U132" s="9">
        <f>IF(G$227=0,0,G132/G$227)</f>
        <v/>
      </c>
      <c r="V132" s="9">
        <f>IF(H$227=0,0,H132/H$227)</f>
        <v/>
      </c>
      <c r="W132" s="9">
        <f>IF(I$227=0,0,I132/I$227)</f>
        <v/>
      </c>
      <c r="X132" s="9">
        <f>IF(J$227=0,0,J132/J$227)</f>
        <v/>
      </c>
      <c r="Y132" s="9">
        <f>IF(K$227=0,0,K132/K$227)</f>
        <v/>
      </c>
      <c r="Z132" s="9">
        <f>IF(L$227=0,0,L132/L$227)</f>
        <v/>
      </c>
      <c r="AA132" s="9">
        <f>IF(M$227=0,0,M132/M$227)</f>
        <v/>
      </c>
      <c r="AB132" s="9">
        <f>AVERAGE(P132,Q132,S132)</f>
        <v/>
      </c>
    </row>
    <row r="133">
      <c r="A133" s="6">
        <f>'3_TF'!A133</f>
        <v/>
      </c>
      <c r="B133" s="9">
        <f>'3_TF'!B133*'4_IDF'!$E133</f>
        <v/>
      </c>
      <c r="C133" s="9">
        <f>'3_TF'!C133*'4_IDF'!$E133</f>
        <v/>
      </c>
      <c r="D133" s="9">
        <f>'3_TF'!D133*'4_IDF'!$E133</f>
        <v/>
      </c>
      <c r="E133" s="9">
        <f>'3_TF'!E133*'4_IDF'!$E133</f>
        <v/>
      </c>
      <c r="F133" s="9">
        <f>'3_TF'!F133*'4_IDF'!$E133</f>
        <v/>
      </c>
      <c r="G133" s="9">
        <f>'3_TF'!G133*'4_IDF'!$E133</f>
        <v/>
      </c>
      <c r="H133" s="9">
        <f>'3_TF'!H133*'4_IDF'!$E133</f>
        <v/>
      </c>
      <c r="I133" s="9">
        <f>'3_TF'!I133*'4_IDF'!$E133</f>
        <v/>
      </c>
      <c r="J133" s="9">
        <f>'3_TF'!J133*'4_IDF'!$E133</f>
        <v/>
      </c>
      <c r="K133" s="9">
        <f>'3_TF'!K133*'4_IDF'!$E133</f>
        <v/>
      </c>
      <c r="L133" s="9">
        <f>'3_TF'!L133*'4_IDF'!$E133</f>
        <v/>
      </c>
      <c r="M133" s="9">
        <f>'3_TF'!M133*'4_IDF'!$E133</f>
        <v/>
      </c>
      <c r="O133" s="6">
        <f>A133</f>
        <v/>
      </c>
      <c r="P133" s="9">
        <f>IF(B$227=0,0,B133/B$227)</f>
        <v/>
      </c>
      <c r="Q133" s="9">
        <f>IF(C$227=0,0,C133/C$227)</f>
        <v/>
      </c>
      <c r="R133" s="9">
        <f>IF(D$227=0,0,D133/D$227)</f>
        <v/>
      </c>
      <c r="S133" s="9">
        <f>IF(E$227=0,0,E133/E$227)</f>
        <v/>
      </c>
      <c r="T133" s="9">
        <f>IF(F$227=0,0,F133/F$227)</f>
        <v/>
      </c>
      <c r="U133" s="9">
        <f>IF(G$227=0,0,G133/G$227)</f>
        <v/>
      </c>
      <c r="V133" s="9">
        <f>IF(H$227=0,0,H133/H$227)</f>
        <v/>
      </c>
      <c r="W133" s="9">
        <f>IF(I$227=0,0,I133/I$227)</f>
        <v/>
      </c>
      <c r="X133" s="9">
        <f>IF(J$227=0,0,J133/J$227)</f>
        <v/>
      </c>
      <c r="Y133" s="9">
        <f>IF(K$227=0,0,K133/K$227)</f>
        <v/>
      </c>
      <c r="Z133" s="9">
        <f>IF(L$227=0,0,L133/L$227)</f>
        <v/>
      </c>
      <c r="AA133" s="9">
        <f>IF(M$227=0,0,M133/M$227)</f>
        <v/>
      </c>
      <c r="AB133" s="9">
        <f>AVERAGE(P133,Q133,S133)</f>
        <v/>
      </c>
    </row>
    <row r="134">
      <c r="A134" s="6">
        <f>'3_TF'!A134</f>
        <v/>
      </c>
      <c r="B134" s="9">
        <f>'3_TF'!B134*'4_IDF'!$E134</f>
        <v/>
      </c>
      <c r="C134" s="9">
        <f>'3_TF'!C134*'4_IDF'!$E134</f>
        <v/>
      </c>
      <c r="D134" s="9">
        <f>'3_TF'!D134*'4_IDF'!$E134</f>
        <v/>
      </c>
      <c r="E134" s="9">
        <f>'3_TF'!E134*'4_IDF'!$E134</f>
        <v/>
      </c>
      <c r="F134" s="9">
        <f>'3_TF'!F134*'4_IDF'!$E134</f>
        <v/>
      </c>
      <c r="G134" s="9">
        <f>'3_TF'!G134*'4_IDF'!$E134</f>
        <v/>
      </c>
      <c r="H134" s="9">
        <f>'3_TF'!H134*'4_IDF'!$E134</f>
        <v/>
      </c>
      <c r="I134" s="9">
        <f>'3_TF'!I134*'4_IDF'!$E134</f>
        <v/>
      </c>
      <c r="J134" s="9">
        <f>'3_TF'!J134*'4_IDF'!$E134</f>
        <v/>
      </c>
      <c r="K134" s="9">
        <f>'3_TF'!K134*'4_IDF'!$E134</f>
        <v/>
      </c>
      <c r="L134" s="9">
        <f>'3_TF'!L134*'4_IDF'!$E134</f>
        <v/>
      </c>
      <c r="M134" s="9">
        <f>'3_TF'!M134*'4_IDF'!$E134</f>
        <v/>
      </c>
      <c r="O134" s="6">
        <f>A134</f>
        <v/>
      </c>
      <c r="P134" s="9">
        <f>IF(B$227=0,0,B134/B$227)</f>
        <v/>
      </c>
      <c r="Q134" s="9">
        <f>IF(C$227=0,0,C134/C$227)</f>
        <v/>
      </c>
      <c r="R134" s="9">
        <f>IF(D$227=0,0,D134/D$227)</f>
        <v/>
      </c>
      <c r="S134" s="9">
        <f>IF(E$227=0,0,E134/E$227)</f>
        <v/>
      </c>
      <c r="T134" s="9">
        <f>IF(F$227=0,0,F134/F$227)</f>
        <v/>
      </c>
      <c r="U134" s="9">
        <f>IF(G$227=0,0,G134/G$227)</f>
        <v/>
      </c>
      <c r="V134" s="9">
        <f>IF(H$227=0,0,H134/H$227)</f>
        <v/>
      </c>
      <c r="W134" s="9">
        <f>IF(I$227=0,0,I134/I$227)</f>
        <v/>
      </c>
      <c r="X134" s="9">
        <f>IF(J$227=0,0,J134/J$227)</f>
        <v/>
      </c>
      <c r="Y134" s="9">
        <f>IF(K$227=0,0,K134/K$227)</f>
        <v/>
      </c>
      <c r="Z134" s="9">
        <f>IF(L$227=0,0,L134/L$227)</f>
        <v/>
      </c>
      <c r="AA134" s="9">
        <f>IF(M$227=0,0,M134/M$227)</f>
        <v/>
      </c>
      <c r="AB134" s="9">
        <f>AVERAGE(P134,Q134,S134)</f>
        <v/>
      </c>
    </row>
    <row r="135">
      <c r="A135" s="6">
        <f>'3_TF'!A135</f>
        <v/>
      </c>
      <c r="B135" s="9">
        <f>'3_TF'!B135*'4_IDF'!$E135</f>
        <v/>
      </c>
      <c r="C135" s="9">
        <f>'3_TF'!C135*'4_IDF'!$E135</f>
        <v/>
      </c>
      <c r="D135" s="9">
        <f>'3_TF'!D135*'4_IDF'!$E135</f>
        <v/>
      </c>
      <c r="E135" s="9">
        <f>'3_TF'!E135*'4_IDF'!$E135</f>
        <v/>
      </c>
      <c r="F135" s="9">
        <f>'3_TF'!F135*'4_IDF'!$E135</f>
        <v/>
      </c>
      <c r="G135" s="9">
        <f>'3_TF'!G135*'4_IDF'!$E135</f>
        <v/>
      </c>
      <c r="H135" s="9">
        <f>'3_TF'!H135*'4_IDF'!$E135</f>
        <v/>
      </c>
      <c r="I135" s="9">
        <f>'3_TF'!I135*'4_IDF'!$E135</f>
        <v/>
      </c>
      <c r="J135" s="9">
        <f>'3_TF'!J135*'4_IDF'!$E135</f>
        <v/>
      </c>
      <c r="K135" s="9">
        <f>'3_TF'!K135*'4_IDF'!$E135</f>
        <v/>
      </c>
      <c r="L135" s="9">
        <f>'3_TF'!L135*'4_IDF'!$E135</f>
        <v/>
      </c>
      <c r="M135" s="9">
        <f>'3_TF'!M135*'4_IDF'!$E135</f>
        <v/>
      </c>
      <c r="O135" s="6">
        <f>A135</f>
        <v/>
      </c>
      <c r="P135" s="9">
        <f>IF(B$227=0,0,B135/B$227)</f>
        <v/>
      </c>
      <c r="Q135" s="9">
        <f>IF(C$227=0,0,C135/C$227)</f>
        <v/>
      </c>
      <c r="R135" s="9">
        <f>IF(D$227=0,0,D135/D$227)</f>
        <v/>
      </c>
      <c r="S135" s="9">
        <f>IF(E$227=0,0,E135/E$227)</f>
        <v/>
      </c>
      <c r="T135" s="9">
        <f>IF(F$227=0,0,F135/F$227)</f>
        <v/>
      </c>
      <c r="U135" s="9">
        <f>IF(G$227=0,0,G135/G$227)</f>
        <v/>
      </c>
      <c r="V135" s="9">
        <f>IF(H$227=0,0,H135/H$227)</f>
        <v/>
      </c>
      <c r="W135" s="9">
        <f>IF(I$227=0,0,I135/I$227)</f>
        <v/>
      </c>
      <c r="X135" s="9">
        <f>IF(J$227=0,0,J135/J$227)</f>
        <v/>
      </c>
      <c r="Y135" s="9">
        <f>IF(K$227=0,0,K135/K$227)</f>
        <v/>
      </c>
      <c r="Z135" s="9">
        <f>IF(L$227=0,0,L135/L$227)</f>
        <v/>
      </c>
      <c r="AA135" s="9">
        <f>IF(M$227=0,0,M135/M$227)</f>
        <v/>
      </c>
      <c r="AB135" s="9">
        <f>AVERAGE(P135,Q135,S135)</f>
        <v/>
      </c>
    </row>
    <row r="136">
      <c r="A136" s="6">
        <f>'3_TF'!A136</f>
        <v/>
      </c>
      <c r="B136" s="9">
        <f>'3_TF'!B136*'4_IDF'!$E136</f>
        <v/>
      </c>
      <c r="C136" s="9">
        <f>'3_TF'!C136*'4_IDF'!$E136</f>
        <v/>
      </c>
      <c r="D136" s="9">
        <f>'3_TF'!D136*'4_IDF'!$E136</f>
        <v/>
      </c>
      <c r="E136" s="9">
        <f>'3_TF'!E136*'4_IDF'!$E136</f>
        <v/>
      </c>
      <c r="F136" s="9">
        <f>'3_TF'!F136*'4_IDF'!$E136</f>
        <v/>
      </c>
      <c r="G136" s="9">
        <f>'3_TF'!G136*'4_IDF'!$E136</f>
        <v/>
      </c>
      <c r="H136" s="9">
        <f>'3_TF'!H136*'4_IDF'!$E136</f>
        <v/>
      </c>
      <c r="I136" s="9">
        <f>'3_TF'!I136*'4_IDF'!$E136</f>
        <v/>
      </c>
      <c r="J136" s="9">
        <f>'3_TF'!J136*'4_IDF'!$E136</f>
        <v/>
      </c>
      <c r="K136" s="9">
        <f>'3_TF'!K136*'4_IDF'!$E136</f>
        <v/>
      </c>
      <c r="L136" s="9">
        <f>'3_TF'!L136*'4_IDF'!$E136</f>
        <v/>
      </c>
      <c r="M136" s="9">
        <f>'3_TF'!M136*'4_IDF'!$E136</f>
        <v/>
      </c>
      <c r="O136" s="6">
        <f>A136</f>
        <v/>
      </c>
      <c r="P136" s="9">
        <f>IF(B$227=0,0,B136/B$227)</f>
        <v/>
      </c>
      <c r="Q136" s="9">
        <f>IF(C$227=0,0,C136/C$227)</f>
        <v/>
      </c>
      <c r="R136" s="9">
        <f>IF(D$227=0,0,D136/D$227)</f>
        <v/>
      </c>
      <c r="S136" s="9">
        <f>IF(E$227=0,0,E136/E$227)</f>
        <v/>
      </c>
      <c r="T136" s="9">
        <f>IF(F$227=0,0,F136/F$227)</f>
        <v/>
      </c>
      <c r="U136" s="9">
        <f>IF(G$227=0,0,G136/G$227)</f>
        <v/>
      </c>
      <c r="V136" s="9">
        <f>IF(H$227=0,0,H136/H$227)</f>
        <v/>
      </c>
      <c r="W136" s="9">
        <f>IF(I$227=0,0,I136/I$227)</f>
        <v/>
      </c>
      <c r="X136" s="9">
        <f>IF(J$227=0,0,J136/J$227)</f>
        <v/>
      </c>
      <c r="Y136" s="9">
        <f>IF(K$227=0,0,K136/K$227)</f>
        <v/>
      </c>
      <c r="Z136" s="9">
        <f>IF(L$227=0,0,L136/L$227)</f>
        <v/>
      </c>
      <c r="AA136" s="9">
        <f>IF(M$227=0,0,M136/M$227)</f>
        <v/>
      </c>
      <c r="AB136" s="9">
        <f>AVERAGE(P136,Q136,S136)</f>
        <v/>
      </c>
    </row>
    <row r="137">
      <c r="A137" s="6">
        <f>'3_TF'!A137</f>
        <v/>
      </c>
      <c r="B137" s="9">
        <f>'3_TF'!B137*'4_IDF'!$E137</f>
        <v/>
      </c>
      <c r="C137" s="9">
        <f>'3_TF'!C137*'4_IDF'!$E137</f>
        <v/>
      </c>
      <c r="D137" s="9">
        <f>'3_TF'!D137*'4_IDF'!$E137</f>
        <v/>
      </c>
      <c r="E137" s="9">
        <f>'3_TF'!E137*'4_IDF'!$E137</f>
        <v/>
      </c>
      <c r="F137" s="9">
        <f>'3_TF'!F137*'4_IDF'!$E137</f>
        <v/>
      </c>
      <c r="G137" s="9">
        <f>'3_TF'!G137*'4_IDF'!$E137</f>
        <v/>
      </c>
      <c r="H137" s="9">
        <f>'3_TF'!H137*'4_IDF'!$E137</f>
        <v/>
      </c>
      <c r="I137" s="9">
        <f>'3_TF'!I137*'4_IDF'!$E137</f>
        <v/>
      </c>
      <c r="J137" s="9">
        <f>'3_TF'!J137*'4_IDF'!$E137</f>
        <v/>
      </c>
      <c r="K137" s="9">
        <f>'3_TF'!K137*'4_IDF'!$E137</f>
        <v/>
      </c>
      <c r="L137" s="9">
        <f>'3_TF'!L137*'4_IDF'!$E137</f>
        <v/>
      </c>
      <c r="M137" s="9">
        <f>'3_TF'!M137*'4_IDF'!$E137</f>
        <v/>
      </c>
      <c r="O137" s="6">
        <f>A137</f>
        <v/>
      </c>
      <c r="P137" s="9">
        <f>IF(B$227=0,0,B137/B$227)</f>
        <v/>
      </c>
      <c r="Q137" s="9">
        <f>IF(C$227=0,0,C137/C$227)</f>
        <v/>
      </c>
      <c r="R137" s="9">
        <f>IF(D$227=0,0,D137/D$227)</f>
        <v/>
      </c>
      <c r="S137" s="9">
        <f>IF(E$227=0,0,E137/E$227)</f>
        <v/>
      </c>
      <c r="T137" s="9">
        <f>IF(F$227=0,0,F137/F$227)</f>
        <v/>
      </c>
      <c r="U137" s="9">
        <f>IF(G$227=0,0,G137/G$227)</f>
        <v/>
      </c>
      <c r="V137" s="9">
        <f>IF(H$227=0,0,H137/H$227)</f>
        <v/>
      </c>
      <c r="W137" s="9">
        <f>IF(I$227=0,0,I137/I$227)</f>
        <v/>
      </c>
      <c r="X137" s="9">
        <f>IF(J$227=0,0,J137/J$227)</f>
        <v/>
      </c>
      <c r="Y137" s="9">
        <f>IF(K$227=0,0,K137/K$227)</f>
        <v/>
      </c>
      <c r="Z137" s="9">
        <f>IF(L$227=0,0,L137/L$227)</f>
        <v/>
      </c>
      <c r="AA137" s="9">
        <f>IF(M$227=0,0,M137/M$227)</f>
        <v/>
      </c>
      <c r="AB137" s="9">
        <f>AVERAGE(P137,Q137,S137)</f>
        <v/>
      </c>
    </row>
    <row r="138">
      <c r="A138" s="6">
        <f>'3_TF'!A138</f>
        <v/>
      </c>
      <c r="B138" s="9">
        <f>'3_TF'!B138*'4_IDF'!$E138</f>
        <v/>
      </c>
      <c r="C138" s="9">
        <f>'3_TF'!C138*'4_IDF'!$E138</f>
        <v/>
      </c>
      <c r="D138" s="9">
        <f>'3_TF'!D138*'4_IDF'!$E138</f>
        <v/>
      </c>
      <c r="E138" s="9">
        <f>'3_TF'!E138*'4_IDF'!$E138</f>
        <v/>
      </c>
      <c r="F138" s="9">
        <f>'3_TF'!F138*'4_IDF'!$E138</f>
        <v/>
      </c>
      <c r="G138" s="9">
        <f>'3_TF'!G138*'4_IDF'!$E138</f>
        <v/>
      </c>
      <c r="H138" s="9">
        <f>'3_TF'!H138*'4_IDF'!$E138</f>
        <v/>
      </c>
      <c r="I138" s="9">
        <f>'3_TF'!I138*'4_IDF'!$E138</f>
        <v/>
      </c>
      <c r="J138" s="9">
        <f>'3_TF'!J138*'4_IDF'!$E138</f>
        <v/>
      </c>
      <c r="K138" s="9">
        <f>'3_TF'!K138*'4_IDF'!$E138</f>
        <v/>
      </c>
      <c r="L138" s="9">
        <f>'3_TF'!L138*'4_IDF'!$E138</f>
        <v/>
      </c>
      <c r="M138" s="9">
        <f>'3_TF'!M138*'4_IDF'!$E138</f>
        <v/>
      </c>
      <c r="O138" s="6">
        <f>A138</f>
        <v/>
      </c>
      <c r="P138" s="9">
        <f>IF(B$227=0,0,B138/B$227)</f>
        <v/>
      </c>
      <c r="Q138" s="9">
        <f>IF(C$227=0,0,C138/C$227)</f>
        <v/>
      </c>
      <c r="R138" s="9">
        <f>IF(D$227=0,0,D138/D$227)</f>
        <v/>
      </c>
      <c r="S138" s="9">
        <f>IF(E$227=0,0,E138/E$227)</f>
        <v/>
      </c>
      <c r="T138" s="9">
        <f>IF(F$227=0,0,F138/F$227)</f>
        <v/>
      </c>
      <c r="U138" s="9">
        <f>IF(G$227=0,0,G138/G$227)</f>
        <v/>
      </c>
      <c r="V138" s="9">
        <f>IF(H$227=0,0,H138/H$227)</f>
        <v/>
      </c>
      <c r="W138" s="9">
        <f>IF(I$227=0,0,I138/I$227)</f>
        <v/>
      </c>
      <c r="X138" s="9">
        <f>IF(J$227=0,0,J138/J$227)</f>
        <v/>
      </c>
      <c r="Y138" s="9">
        <f>IF(K$227=0,0,K138/K$227)</f>
        <v/>
      </c>
      <c r="Z138" s="9">
        <f>IF(L$227=0,0,L138/L$227)</f>
        <v/>
      </c>
      <c r="AA138" s="9">
        <f>IF(M$227=0,0,M138/M$227)</f>
        <v/>
      </c>
      <c r="AB138" s="9">
        <f>AVERAGE(P138,Q138,S138)</f>
        <v/>
      </c>
    </row>
    <row r="139">
      <c r="A139" s="6">
        <f>'3_TF'!A139</f>
        <v/>
      </c>
      <c r="B139" s="9">
        <f>'3_TF'!B139*'4_IDF'!$E139</f>
        <v/>
      </c>
      <c r="C139" s="9">
        <f>'3_TF'!C139*'4_IDF'!$E139</f>
        <v/>
      </c>
      <c r="D139" s="9">
        <f>'3_TF'!D139*'4_IDF'!$E139</f>
        <v/>
      </c>
      <c r="E139" s="9">
        <f>'3_TF'!E139*'4_IDF'!$E139</f>
        <v/>
      </c>
      <c r="F139" s="9">
        <f>'3_TF'!F139*'4_IDF'!$E139</f>
        <v/>
      </c>
      <c r="G139" s="9">
        <f>'3_TF'!G139*'4_IDF'!$E139</f>
        <v/>
      </c>
      <c r="H139" s="9">
        <f>'3_TF'!H139*'4_IDF'!$E139</f>
        <v/>
      </c>
      <c r="I139" s="9">
        <f>'3_TF'!I139*'4_IDF'!$E139</f>
        <v/>
      </c>
      <c r="J139" s="9">
        <f>'3_TF'!J139*'4_IDF'!$E139</f>
        <v/>
      </c>
      <c r="K139" s="9">
        <f>'3_TF'!K139*'4_IDF'!$E139</f>
        <v/>
      </c>
      <c r="L139" s="9">
        <f>'3_TF'!L139*'4_IDF'!$E139</f>
        <v/>
      </c>
      <c r="M139" s="9">
        <f>'3_TF'!M139*'4_IDF'!$E139</f>
        <v/>
      </c>
      <c r="O139" s="6">
        <f>A139</f>
        <v/>
      </c>
      <c r="P139" s="9">
        <f>IF(B$227=0,0,B139/B$227)</f>
        <v/>
      </c>
      <c r="Q139" s="9">
        <f>IF(C$227=0,0,C139/C$227)</f>
        <v/>
      </c>
      <c r="R139" s="9">
        <f>IF(D$227=0,0,D139/D$227)</f>
        <v/>
      </c>
      <c r="S139" s="9">
        <f>IF(E$227=0,0,E139/E$227)</f>
        <v/>
      </c>
      <c r="T139" s="9">
        <f>IF(F$227=0,0,F139/F$227)</f>
        <v/>
      </c>
      <c r="U139" s="9">
        <f>IF(G$227=0,0,G139/G$227)</f>
        <v/>
      </c>
      <c r="V139" s="9">
        <f>IF(H$227=0,0,H139/H$227)</f>
        <v/>
      </c>
      <c r="W139" s="9">
        <f>IF(I$227=0,0,I139/I$227)</f>
        <v/>
      </c>
      <c r="X139" s="9">
        <f>IF(J$227=0,0,J139/J$227)</f>
        <v/>
      </c>
      <c r="Y139" s="9">
        <f>IF(K$227=0,0,K139/K$227)</f>
        <v/>
      </c>
      <c r="Z139" s="9">
        <f>IF(L$227=0,0,L139/L$227)</f>
        <v/>
      </c>
      <c r="AA139" s="9">
        <f>IF(M$227=0,0,M139/M$227)</f>
        <v/>
      </c>
      <c r="AB139" s="9">
        <f>AVERAGE(P139,Q139,S139)</f>
        <v/>
      </c>
    </row>
    <row r="140">
      <c r="A140" s="6">
        <f>'3_TF'!A140</f>
        <v/>
      </c>
      <c r="B140" s="9">
        <f>'3_TF'!B140*'4_IDF'!$E140</f>
        <v/>
      </c>
      <c r="C140" s="9">
        <f>'3_TF'!C140*'4_IDF'!$E140</f>
        <v/>
      </c>
      <c r="D140" s="9">
        <f>'3_TF'!D140*'4_IDF'!$E140</f>
        <v/>
      </c>
      <c r="E140" s="9">
        <f>'3_TF'!E140*'4_IDF'!$E140</f>
        <v/>
      </c>
      <c r="F140" s="9">
        <f>'3_TF'!F140*'4_IDF'!$E140</f>
        <v/>
      </c>
      <c r="G140" s="9">
        <f>'3_TF'!G140*'4_IDF'!$E140</f>
        <v/>
      </c>
      <c r="H140" s="9">
        <f>'3_TF'!H140*'4_IDF'!$E140</f>
        <v/>
      </c>
      <c r="I140" s="9">
        <f>'3_TF'!I140*'4_IDF'!$E140</f>
        <v/>
      </c>
      <c r="J140" s="9">
        <f>'3_TF'!J140*'4_IDF'!$E140</f>
        <v/>
      </c>
      <c r="K140" s="9">
        <f>'3_TF'!K140*'4_IDF'!$E140</f>
        <v/>
      </c>
      <c r="L140" s="9">
        <f>'3_TF'!L140*'4_IDF'!$E140</f>
        <v/>
      </c>
      <c r="M140" s="9">
        <f>'3_TF'!M140*'4_IDF'!$E140</f>
        <v/>
      </c>
      <c r="O140" s="6">
        <f>A140</f>
        <v/>
      </c>
      <c r="P140" s="9">
        <f>IF(B$227=0,0,B140/B$227)</f>
        <v/>
      </c>
      <c r="Q140" s="9">
        <f>IF(C$227=0,0,C140/C$227)</f>
        <v/>
      </c>
      <c r="R140" s="9">
        <f>IF(D$227=0,0,D140/D$227)</f>
        <v/>
      </c>
      <c r="S140" s="9">
        <f>IF(E$227=0,0,E140/E$227)</f>
        <v/>
      </c>
      <c r="T140" s="9">
        <f>IF(F$227=0,0,F140/F$227)</f>
        <v/>
      </c>
      <c r="U140" s="9">
        <f>IF(G$227=0,0,G140/G$227)</f>
        <v/>
      </c>
      <c r="V140" s="9">
        <f>IF(H$227=0,0,H140/H$227)</f>
        <v/>
      </c>
      <c r="W140" s="9">
        <f>IF(I$227=0,0,I140/I$227)</f>
        <v/>
      </c>
      <c r="X140" s="9">
        <f>IF(J$227=0,0,J140/J$227)</f>
        <v/>
      </c>
      <c r="Y140" s="9">
        <f>IF(K$227=0,0,K140/K$227)</f>
        <v/>
      </c>
      <c r="Z140" s="9">
        <f>IF(L$227=0,0,L140/L$227)</f>
        <v/>
      </c>
      <c r="AA140" s="9">
        <f>IF(M$227=0,0,M140/M$227)</f>
        <v/>
      </c>
      <c r="AB140" s="9">
        <f>AVERAGE(P140,Q140,S140)</f>
        <v/>
      </c>
    </row>
    <row r="141">
      <c r="A141" s="6">
        <f>'3_TF'!A141</f>
        <v/>
      </c>
      <c r="B141" s="9">
        <f>'3_TF'!B141*'4_IDF'!$E141</f>
        <v/>
      </c>
      <c r="C141" s="9">
        <f>'3_TF'!C141*'4_IDF'!$E141</f>
        <v/>
      </c>
      <c r="D141" s="9">
        <f>'3_TF'!D141*'4_IDF'!$E141</f>
        <v/>
      </c>
      <c r="E141" s="9">
        <f>'3_TF'!E141*'4_IDF'!$E141</f>
        <v/>
      </c>
      <c r="F141" s="9">
        <f>'3_TF'!F141*'4_IDF'!$E141</f>
        <v/>
      </c>
      <c r="G141" s="9">
        <f>'3_TF'!G141*'4_IDF'!$E141</f>
        <v/>
      </c>
      <c r="H141" s="9">
        <f>'3_TF'!H141*'4_IDF'!$E141</f>
        <v/>
      </c>
      <c r="I141" s="9">
        <f>'3_TF'!I141*'4_IDF'!$E141</f>
        <v/>
      </c>
      <c r="J141" s="9">
        <f>'3_TF'!J141*'4_IDF'!$E141</f>
        <v/>
      </c>
      <c r="K141" s="9">
        <f>'3_TF'!K141*'4_IDF'!$E141</f>
        <v/>
      </c>
      <c r="L141" s="9">
        <f>'3_TF'!L141*'4_IDF'!$E141</f>
        <v/>
      </c>
      <c r="M141" s="9">
        <f>'3_TF'!M141*'4_IDF'!$E141</f>
        <v/>
      </c>
      <c r="O141" s="6">
        <f>A141</f>
        <v/>
      </c>
      <c r="P141" s="9">
        <f>IF(B$227=0,0,B141/B$227)</f>
        <v/>
      </c>
      <c r="Q141" s="9">
        <f>IF(C$227=0,0,C141/C$227)</f>
        <v/>
      </c>
      <c r="R141" s="9">
        <f>IF(D$227=0,0,D141/D$227)</f>
        <v/>
      </c>
      <c r="S141" s="9">
        <f>IF(E$227=0,0,E141/E$227)</f>
        <v/>
      </c>
      <c r="T141" s="9">
        <f>IF(F$227=0,0,F141/F$227)</f>
        <v/>
      </c>
      <c r="U141" s="9">
        <f>IF(G$227=0,0,G141/G$227)</f>
        <v/>
      </c>
      <c r="V141" s="9">
        <f>IF(H$227=0,0,H141/H$227)</f>
        <v/>
      </c>
      <c r="W141" s="9">
        <f>IF(I$227=0,0,I141/I$227)</f>
        <v/>
      </c>
      <c r="X141" s="9">
        <f>IF(J$227=0,0,J141/J$227)</f>
        <v/>
      </c>
      <c r="Y141" s="9">
        <f>IF(K$227=0,0,K141/K$227)</f>
        <v/>
      </c>
      <c r="Z141" s="9">
        <f>IF(L$227=0,0,L141/L$227)</f>
        <v/>
      </c>
      <c r="AA141" s="9">
        <f>IF(M$227=0,0,M141/M$227)</f>
        <v/>
      </c>
      <c r="AB141" s="9">
        <f>AVERAGE(P141,Q141,S141)</f>
        <v/>
      </c>
    </row>
    <row r="142">
      <c r="A142" s="6">
        <f>'3_TF'!A142</f>
        <v/>
      </c>
      <c r="B142" s="9">
        <f>'3_TF'!B142*'4_IDF'!$E142</f>
        <v/>
      </c>
      <c r="C142" s="9">
        <f>'3_TF'!C142*'4_IDF'!$E142</f>
        <v/>
      </c>
      <c r="D142" s="9">
        <f>'3_TF'!D142*'4_IDF'!$E142</f>
        <v/>
      </c>
      <c r="E142" s="9">
        <f>'3_TF'!E142*'4_IDF'!$E142</f>
        <v/>
      </c>
      <c r="F142" s="9">
        <f>'3_TF'!F142*'4_IDF'!$E142</f>
        <v/>
      </c>
      <c r="G142" s="9">
        <f>'3_TF'!G142*'4_IDF'!$E142</f>
        <v/>
      </c>
      <c r="H142" s="9">
        <f>'3_TF'!H142*'4_IDF'!$E142</f>
        <v/>
      </c>
      <c r="I142" s="9">
        <f>'3_TF'!I142*'4_IDF'!$E142</f>
        <v/>
      </c>
      <c r="J142" s="9">
        <f>'3_TF'!J142*'4_IDF'!$E142</f>
        <v/>
      </c>
      <c r="K142" s="9">
        <f>'3_TF'!K142*'4_IDF'!$E142</f>
        <v/>
      </c>
      <c r="L142" s="9">
        <f>'3_TF'!L142*'4_IDF'!$E142</f>
        <v/>
      </c>
      <c r="M142" s="9">
        <f>'3_TF'!M142*'4_IDF'!$E142</f>
        <v/>
      </c>
      <c r="O142" s="6">
        <f>A142</f>
        <v/>
      </c>
      <c r="P142" s="9">
        <f>IF(B$227=0,0,B142/B$227)</f>
        <v/>
      </c>
      <c r="Q142" s="9">
        <f>IF(C$227=0,0,C142/C$227)</f>
        <v/>
      </c>
      <c r="R142" s="9">
        <f>IF(D$227=0,0,D142/D$227)</f>
        <v/>
      </c>
      <c r="S142" s="9">
        <f>IF(E$227=0,0,E142/E$227)</f>
        <v/>
      </c>
      <c r="T142" s="9">
        <f>IF(F$227=0,0,F142/F$227)</f>
        <v/>
      </c>
      <c r="U142" s="9">
        <f>IF(G$227=0,0,G142/G$227)</f>
        <v/>
      </c>
      <c r="V142" s="9">
        <f>IF(H$227=0,0,H142/H$227)</f>
        <v/>
      </c>
      <c r="W142" s="9">
        <f>IF(I$227=0,0,I142/I$227)</f>
        <v/>
      </c>
      <c r="X142" s="9">
        <f>IF(J$227=0,0,J142/J$227)</f>
        <v/>
      </c>
      <c r="Y142" s="9">
        <f>IF(K$227=0,0,K142/K$227)</f>
        <v/>
      </c>
      <c r="Z142" s="9">
        <f>IF(L$227=0,0,L142/L$227)</f>
        <v/>
      </c>
      <c r="AA142" s="9">
        <f>IF(M$227=0,0,M142/M$227)</f>
        <v/>
      </c>
      <c r="AB142" s="9">
        <f>AVERAGE(P142,Q142,S142)</f>
        <v/>
      </c>
    </row>
    <row r="143">
      <c r="A143" s="6">
        <f>'3_TF'!A143</f>
        <v/>
      </c>
      <c r="B143" s="9">
        <f>'3_TF'!B143*'4_IDF'!$E143</f>
        <v/>
      </c>
      <c r="C143" s="9">
        <f>'3_TF'!C143*'4_IDF'!$E143</f>
        <v/>
      </c>
      <c r="D143" s="9">
        <f>'3_TF'!D143*'4_IDF'!$E143</f>
        <v/>
      </c>
      <c r="E143" s="9">
        <f>'3_TF'!E143*'4_IDF'!$E143</f>
        <v/>
      </c>
      <c r="F143" s="9">
        <f>'3_TF'!F143*'4_IDF'!$E143</f>
        <v/>
      </c>
      <c r="G143" s="9">
        <f>'3_TF'!G143*'4_IDF'!$E143</f>
        <v/>
      </c>
      <c r="H143" s="9">
        <f>'3_TF'!H143*'4_IDF'!$E143</f>
        <v/>
      </c>
      <c r="I143" s="9">
        <f>'3_TF'!I143*'4_IDF'!$E143</f>
        <v/>
      </c>
      <c r="J143" s="9">
        <f>'3_TF'!J143*'4_IDF'!$E143</f>
        <v/>
      </c>
      <c r="K143" s="9">
        <f>'3_TF'!K143*'4_IDF'!$E143</f>
        <v/>
      </c>
      <c r="L143" s="9">
        <f>'3_TF'!L143*'4_IDF'!$E143</f>
        <v/>
      </c>
      <c r="M143" s="9">
        <f>'3_TF'!M143*'4_IDF'!$E143</f>
        <v/>
      </c>
      <c r="O143" s="6">
        <f>A143</f>
        <v/>
      </c>
      <c r="P143" s="9">
        <f>IF(B$227=0,0,B143/B$227)</f>
        <v/>
      </c>
      <c r="Q143" s="9">
        <f>IF(C$227=0,0,C143/C$227)</f>
        <v/>
      </c>
      <c r="R143" s="9">
        <f>IF(D$227=0,0,D143/D$227)</f>
        <v/>
      </c>
      <c r="S143" s="9">
        <f>IF(E$227=0,0,E143/E$227)</f>
        <v/>
      </c>
      <c r="T143" s="9">
        <f>IF(F$227=0,0,F143/F$227)</f>
        <v/>
      </c>
      <c r="U143" s="9">
        <f>IF(G$227=0,0,G143/G$227)</f>
        <v/>
      </c>
      <c r="V143" s="9">
        <f>IF(H$227=0,0,H143/H$227)</f>
        <v/>
      </c>
      <c r="W143" s="9">
        <f>IF(I$227=0,0,I143/I$227)</f>
        <v/>
      </c>
      <c r="X143" s="9">
        <f>IF(J$227=0,0,J143/J$227)</f>
        <v/>
      </c>
      <c r="Y143" s="9">
        <f>IF(K$227=0,0,K143/K$227)</f>
        <v/>
      </c>
      <c r="Z143" s="9">
        <f>IF(L$227=0,0,L143/L$227)</f>
        <v/>
      </c>
      <c r="AA143" s="9">
        <f>IF(M$227=0,0,M143/M$227)</f>
        <v/>
      </c>
      <c r="AB143" s="9">
        <f>AVERAGE(P143,Q143,S143)</f>
        <v/>
      </c>
    </row>
    <row r="144">
      <c r="A144" s="6">
        <f>'3_TF'!A144</f>
        <v/>
      </c>
      <c r="B144" s="9">
        <f>'3_TF'!B144*'4_IDF'!$E144</f>
        <v/>
      </c>
      <c r="C144" s="9">
        <f>'3_TF'!C144*'4_IDF'!$E144</f>
        <v/>
      </c>
      <c r="D144" s="9">
        <f>'3_TF'!D144*'4_IDF'!$E144</f>
        <v/>
      </c>
      <c r="E144" s="9">
        <f>'3_TF'!E144*'4_IDF'!$E144</f>
        <v/>
      </c>
      <c r="F144" s="9">
        <f>'3_TF'!F144*'4_IDF'!$E144</f>
        <v/>
      </c>
      <c r="G144" s="9">
        <f>'3_TF'!G144*'4_IDF'!$E144</f>
        <v/>
      </c>
      <c r="H144" s="9">
        <f>'3_TF'!H144*'4_IDF'!$E144</f>
        <v/>
      </c>
      <c r="I144" s="9">
        <f>'3_TF'!I144*'4_IDF'!$E144</f>
        <v/>
      </c>
      <c r="J144" s="9">
        <f>'3_TF'!J144*'4_IDF'!$E144</f>
        <v/>
      </c>
      <c r="K144" s="9">
        <f>'3_TF'!K144*'4_IDF'!$E144</f>
        <v/>
      </c>
      <c r="L144" s="9">
        <f>'3_TF'!L144*'4_IDF'!$E144</f>
        <v/>
      </c>
      <c r="M144" s="9">
        <f>'3_TF'!M144*'4_IDF'!$E144</f>
        <v/>
      </c>
      <c r="O144" s="6">
        <f>A144</f>
        <v/>
      </c>
      <c r="P144" s="9">
        <f>IF(B$227=0,0,B144/B$227)</f>
        <v/>
      </c>
      <c r="Q144" s="9">
        <f>IF(C$227=0,0,C144/C$227)</f>
        <v/>
      </c>
      <c r="R144" s="9">
        <f>IF(D$227=0,0,D144/D$227)</f>
        <v/>
      </c>
      <c r="S144" s="9">
        <f>IF(E$227=0,0,E144/E$227)</f>
        <v/>
      </c>
      <c r="T144" s="9">
        <f>IF(F$227=0,0,F144/F$227)</f>
        <v/>
      </c>
      <c r="U144" s="9">
        <f>IF(G$227=0,0,G144/G$227)</f>
        <v/>
      </c>
      <c r="V144" s="9">
        <f>IF(H$227=0,0,H144/H$227)</f>
        <v/>
      </c>
      <c r="W144" s="9">
        <f>IF(I$227=0,0,I144/I$227)</f>
        <v/>
      </c>
      <c r="X144" s="9">
        <f>IF(J$227=0,0,J144/J$227)</f>
        <v/>
      </c>
      <c r="Y144" s="9">
        <f>IF(K$227=0,0,K144/K$227)</f>
        <v/>
      </c>
      <c r="Z144" s="9">
        <f>IF(L$227=0,0,L144/L$227)</f>
        <v/>
      </c>
      <c r="AA144" s="9">
        <f>IF(M$227=0,0,M144/M$227)</f>
        <v/>
      </c>
      <c r="AB144" s="9">
        <f>AVERAGE(P144,Q144,S144)</f>
        <v/>
      </c>
    </row>
    <row r="145">
      <c r="A145" s="6">
        <f>'3_TF'!A145</f>
        <v/>
      </c>
      <c r="B145" s="9">
        <f>'3_TF'!B145*'4_IDF'!$E145</f>
        <v/>
      </c>
      <c r="C145" s="9">
        <f>'3_TF'!C145*'4_IDF'!$E145</f>
        <v/>
      </c>
      <c r="D145" s="9">
        <f>'3_TF'!D145*'4_IDF'!$E145</f>
        <v/>
      </c>
      <c r="E145" s="9">
        <f>'3_TF'!E145*'4_IDF'!$E145</f>
        <v/>
      </c>
      <c r="F145" s="9">
        <f>'3_TF'!F145*'4_IDF'!$E145</f>
        <v/>
      </c>
      <c r="G145" s="9">
        <f>'3_TF'!G145*'4_IDF'!$E145</f>
        <v/>
      </c>
      <c r="H145" s="9">
        <f>'3_TF'!H145*'4_IDF'!$E145</f>
        <v/>
      </c>
      <c r="I145" s="9">
        <f>'3_TF'!I145*'4_IDF'!$E145</f>
        <v/>
      </c>
      <c r="J145" s="9">
        <f>'3_TF'!J145*'4_IDF'!$E145</f>
        <v/>
      </c>
      <c r="K145" s="9">
        <f>'3_TF'!K145*'4_IDF'!$E145</f>
        <v/>
      </c>
      <c r="L145" s="9">
        <f>'3_TF'!L145*'4_IDF'!$E145</f>
        <v/>
      </c>
      <c r="M145" s="9">
        <f>'3_TF'!M145*'4_IDF'!$E145</f>
        <v/>
      </c>
      <c r="O145" s="6">
        <f>A145</f>
        <v/>
      </c>
      <c r="P145" s="9">
        <f>IF(B$227=0,0,B145/B$227)</f>
        <v/>
      </c>
      <c r="Q145" s="9">
        <f>IF(C$227=0,0,C145/C$227)</f>
        <v/>
      </c>
      <c r="R145" s="9">
        <f>IF(D$227=0,0,D145/D$227)</f>
        <v/>
      </c>
      <c r="S145" s="9">
        <f>IF(E$227=0,0,E145/E$227)</f>
        <v/>
      </c>
      <c r="T145" s="9">
        <f>IF(F$227=0,0,F145/F$227)</f>
        <v/>
      </c>
      <c r="U145" s="9">
        <f>IF(G$227=0,0,G145/G$227)</f>
        <v/>
      </c>
      <c r="V145" s="9">
        <f>IF(H$227=0,0,H145/H$227)</f>
        <v/>
      </c>
      <c r="W145" s="9">
        <f>IF(I$227=0,0,I145/I$227)</f>
        <v/>
      </c>
      <c r="X145" s="9">
        <f>IF(J$227=0,0,J145/J$227)</f>
        <v/>
      </c>
      <c r="Y145" s="9">
        <f>IF(K$227=0,0,K145/K$227)</f>
        <v/>
      </c>
      <c r="Z145" s="9">
        <f>IF(L$227=0,0,L145/L$227)</f>
        <v/>
      </c>
      <c r="AA145" s="9">
        <f>IF(M$227=0,0,M145/M$227)</f>
        <v/>
      </c>
      <c r="AB145" s="9">
        <f>AVERAGE(P145,Q145,S145)</f>
        <v/>
      </c>
    </row>
    <row r="146">
      <c r="A146" s="6">
        <f>'3_TF'!A146</f>
        <v/>
      </c>
      <c r="B146" s="9">
        <f>'3_TF'!B146*'4_IDF'!$E146</f>
        <v/>
      </c>
      <c r="C146" s="9">
        <f>'3_TF'!C146*'4_IDF'!$E146</f>
        <v/>
      </c>
      <c r="D146" s="9">
        <f>'3_TF'!D146*'4_IDF'!$E146</f>
        <v/>
      </c>
      <c r="E146" s="9">
        <f>'3_TF'!E146*'4_IDF'!$E146</f>
        <v/>
      </c>
      <c r="F146" s="9">
        <f>'3_TF'!F146*'4_IDF'!$E146</f>
        <v/>
      </c>
      <c r="G146" s="9">
        <f>'3_TF'!G146*'4_IDF'!$E146</f>
        <v/>
      </c>
      <c r="H146" s="9">
        <f>'3_TF'!H146*'4_IDF'!$E146</f>
        <v/>
      </c>
      <c r="I146" s="9">
        <f>'3_TF'!I146*'4_IDF'!$E146</f>
        <v/>
      </c>
      <c r="J146" s="9">
        <f>'3_TF'!J146*'4_IDF'!$E146</f>
        <v/>
      </c>
      <c r="K146" s="9">
        <f>'3_TF'!K146*'4_IDF'!$E146</f>
        <v/>
      </c>
      <c r="L146" s="9">
        <f>'3_TF'!L146*'4_IDF'!$E146</f>
        <v/>
      </c>
      <c r="M146" s="9">
        <f>'3_TF'!M146*'4_IDF'!$E146</f>
        <v/>
      </c>
      <c r="O146" s="6">
        <f>A146</f>
        <v/>
      </c>
      <c r="P146" s="9">
        <f>IF(B$227=0,0,B146/B$227)</f>
        <v/>
      </c>
      <c r="Q146" s="9">
        <f>IF(C$227=0,0,C146/C$227)</f>
        <v/>
      </c>
      <c r="R146" s="9">
        <f>IF(D$227=0,0,D146/D$227)</f>
        <v/>
      </c>
      <c r="S146" s="9">
        <f>IF(E$227=0,0,E146/E$227)</f>
        <v/>
      </c>
      <c r="T146" s="9">
        <f>IF(F$227=0,0,F146/F$227)</f>
        <v/>
      </c>
      <c r="U146" s="9">
        <f>IF(G$227=0,0,G146/G$227)</f>
        <v/>
      </c>
      <c r="V146" s="9">
        <f>IF(H$227=0,0,H146/H$227)</f>
        <v/>
      </c>
      <c r="W146" s="9">
        <f>IF(I$227=0,0,I146/I$227)</f>
        <v/>
      </c>
      <c r="X146" s="9">
        <f>IF(J$227=0,0,J146/J$227)</f>
        <v/>
      </c>
      <c r="Y146" s="9">
        <f>IF(K$227=0,0,K146/K$227)</f>
        <v/>
      </c>
      <c r="Z146" s="9">
        <f>IF(L$227=0,0,L146/L$227)</f>
        <v/>
      </c>
      <c r="AA146" s="9">
        <f>IF(M$227=0,0,M146/M$227)</f>
        <v/>
      </c>
      <c r="AB146" s="9">
        <f>AVERAGE(P146,Q146,S146)</f>
        <v/>
      </c>
    </row>
    <row r="147">
      <c r="A147" s="6">
        <f>'3_TF'!A147</f>
        <v/>
      </c>
      <c r="B147" s="9">
        <f>'3_TF'!B147*'4_IDF'!$E147</f>
        <v/>
      </c>
      <c r="C147" s="9">
        <f>'3_TF'!C147*'4_IDF'!$E147</f>
        <v/>
      </c>
      <c r="D147" s="9">
        <f>'3_TF'!D147*'4_IDF'!$E147</f>
        <v/>
      </c>
      <c r="E147" s="9">
        <f>'3_TF'!E147*'4_IDF'!$E147</f>
        <v/>
      </c>
      <c r="F147" s="9">
        <f>'3_TF'!F147*'4_IDF'!$E147</f>
        <v/>
      </c>
      <c r="G147" s="9">
        <f>'3_TF'!G147*'4_IDF'!$E147</f>
        <v/>
      </c>
      <c r="H147" s="9">
        <f>'3_TF'!H147*'4_IDF'!$E147</f>
        <v/>
      </c>
      <c r="I147" s="9">
        <f>'3_TF'!I147*'4_IDF'!$E147</f>
        <v/>
      </c>
      <c r="J147" s="9">
        <f>'3_TF'!J147*'4_IDF'!$E147</f>
        <v/>
      </c>
      <c r="K147" s="9">
        <f>'3_TF'!K147*'4_IDF'!$E147</f>
        <v/>
      </c>
      <c r="L147" s="9">
        <f>'3_TF'!L147*'4_IDF'!$E147</f>
        <v/>
      </c>
      <c r="M147" s="9">
        <f>'3_TF'!M147*'4_IDF'!$E147</f>
        <v/>
      </c>
      <c r="O147" s="6">
        <f>A147</f>
        <v/>
      </c>
      <c r="P147" s="9">
        <f>IF(B$227=0,0,B147/B$227)</f>
        <v/>
      </c>
      <c r="Q147" s="9">
        <f>IF(C$227=0,0,C147/C$227)</f>
        <v/>
      </c>
      <c r="R147" s="9">
        <f>IF(D$227=0,0,D147/D$227)</f>
        <v/>
      </c>
      <c r="S147" s="9">
        <f>IF(E$227=0,0,E147/E$227)</f>
        <v/>
      </c>
      <c r="T147" s="9">
        <f>IF(F$227=0,0,F147/F$227)</f>
        <v/>
      </c>
      <c r="U147" s="9">
        <f>IF(G$227=0,0,G147/G$227)</f>
        <v/>
      </c>
      <c r="V147" s="9">
        <f>IF(H$227=0,0,H147/H$227)</f>
        <v/>
      </c>
      <c r="W147" s="9">
        <f>IF(I$227=0,0,I147/I$227)</f>
        <v/>
      </c>
      <c r="X147" s="9">
        <f>IF(J$227=0,0,J147/J$227)</f>
        <v/>
      </c>
      <c r="Y147" s="9">
        <f>IF(K$227=0,0,K147/K$227)</f>
        <v/>
      </c>
      <c r="Z147" s="9">
        <f>IF(L$227=0,0,L147/L$227)</f>
        <v/>
      </c>
      <c r="AA147" s="9">
        <f>IF(M$227=0,0,M147/M$227)</f>
        <v/>
      </c>
      <c r="AB147" s="9">
        <f>AVERAGE(P147,Q147,S147)</f>
        <v/>
      </c>
    </row>
    <row r="148">
      <c r="A148" s="6">
        <f>'3_TF'!A148</f>
        <v/>
      </c>
      <c r="B148" s="9">
        <f>'3_TF'!B148*'4_IDF'!$E148</f>
        <v/>
      </c>
      <c r="C148" s="9">
        <f>'3_TF'!C148*'4_IDF'!$E148</f>
        <v/>
      </c>
      <c r="D148" s="9">
        <f>'3_TF'!D148*'4_IDF'!$E148</f>
        <v/>
      </c>
      <c r="E148" s="9">
        <f>'3_TF'!E148*'4_IDF'!$E148</f>
        <v/>
      </c>
      <c r="F148" s="9">
        <f>'3_TF'!F148*'4_IDF'!$E148</f>
        <v/>
      </c>
      <c r="G148" s="9">
        <f>'3_TF'!G148*'4_IDF'!$E148</f>
        <v/>
      </c>
      <c r="H148" s="9">
        <f>'3_TF'!H148*'4_IDF'!$E148</f>
        <v/>
      </c>
      <c r="I148" s="9">
        <f>'3_TF'!I148*'4_IDF'!$E148</f>
        <v/>
      </c>
      <c r="J148" s="9">
        <f>'3_TF'!J148*'4_IDF'!$E148</f>
        <v/>
      </c>
      <c r="K148" s="9">
        <f>'3_TF'!K148*'4_IDF'!$E148</f>
        <v/>
      </c>
      <c r="L148" s="9">
        <f>'3_TF'!L148*'4_IDF'!$E148</f>
        <v/>
      </c>
      <c r="M148" s="9">
        <f>'3_TF'!M148*'4_IDF'!$E148</f>
        <v/>
      </c>
      <c r="O148" s="6">
        <f>A148</f>
        <v/>
      </c>
      <c r="P148" s="9">
        <f>IF(B$227=0,0,B148/B$227)</f>
        <v/>
      </c>
      <c r="Q148" s="9">
        <f>IF(C$227=0,0,C148/C$227)</f>
        <v/>
      </c>
      <c r="R148" s="9">
        <f>IF(D$227=0,0,D148/D$227)</f>
        <v/>
      </c>
      <c r="S148" s="9">
        <f>IF(E$227=0,0,E148/E$227)</f>
        <v/>
      </c>
      <c r="T148" s="9">
        <f>IF(F$227=0,0,F148/F$227)</f>
        <v/>
      </c>
      <c r="U148" s="9">
        <f>IF(G$227=0,0,G148/G$227)</f>
        <v/>
      </c>
      <c r="V148" s="9">
        <f>IF(H$227=0,0,H148/H$227)</f>
        <v/>
      </c>
      <c r="W148" s="9">
        <f>IF(I$227=0,0,I148/I$227)</f>
        <v/>
      </c>
      <c r="X148" s="9">
        <f>IF(J$227=0,0,J148/J$227)</f>
        <v/>
      </c>
      <c r="Y148" s="9">
        <f>IF(K$227=0,0,K148/K$227)</f>
        <v/>
      </c>
      <c r="Z148" s="9">
        <f>IF(L$227=0,0,L148/L$227)</f>
        <v/>
      </c>
      <c r="AA148" s="9">
        <f>IF(M$227=0,0,M148/M$227)</f>
        <v/>
      </c>
      <c r="AB148" s="9">
        <f>AVERAGE(P148,Q148,S148)</f>
        <v/>
      </c>
    </row>
    <row r="149">
      <c r="A149" s="6">
        <f>'3_TF'!A149</f>
        <v/>
      </c>
      <c r="B149" s="9">
        <f>'3_TF'!B149*'4_IDF'!$E149</f>
        <v/>
      </c>
      <c r="C149" s="9">
        <f>'3_TF'!C149*'4_IDF'!$E149</f>
        <v/>
      </c>
      <c r="D149" s="9">
        <f>'3_TF'!D149*'4_IDF'!$E149</f>
        <v/>
      </c>
      <c r="E149" s="9">
        <f>'3_TF'!E149*'4_IDF'!$E149</f>
        <v/>
      </c>
      <c r="F149" s="9">
        <f>'3_TF'!F149*'4_IDF'!$E149</f>
        <v/>
      </c>
      <c r="G149" s="9">
        <f>'3_TF'!G149*'4_IDF'!$E149</f>
        <v/>
      </c>
      <c r="H149" s="9">
        <f>'3_TF'!H149*'4_IDF'!$E149</f>
        <v/>
      </c>
      <c r="I149" s="9">
        <f>'3_TF'!I149*'4_IDF'!$E149</f>
        <v/>
      </c>
      <c r="J149" s="9">
        <f>'3_TF'!J149*'4_IDF'!$E149</f>
        <v/>
      </c>
      <c r="K149" s="9">
        <f>'3_TF'!K149*'4_IDF'!$E149</f>
        <v/>
      </c>
      <c r="L149" s="9">
        <f>'3_TF'!L149*'4_IDF'!$E149</f>
        <v/>
      </c>
      <c r="M149" s="9">
        <f>'3_TF'!M149*'4_IDF'!$E149</f>
        <v/>
      </c>
      <c r="O149" s="6">
        <f>A149</f>
        <v/>
      </c>
      <c r="P149" s="9">
        <f>IF(B$227=0,0,B149/B$227)</f>
        <v/>
      </c>
      <c r="Q149" s="9">
        <f>IF(C$227=0,0,C149/C$227)</f>
        <v/>
      </c>
      <c r="R149" s="9">
        <f>IF(D$227=0,0,D149/D$227)</f>
        <v/>
      </c>
      <c r="S149" s="9">
        <f>IF(E$227=0,0,E149/E$227)</f>
        <v/>
      </c>
      <c r="T149" s="9">
        <f>IF(F$227=0,0,F149/F$227)</f>
        <v/>
      </c>
      <c r="U149" s="9">
        <f>IF(G$227=0,0,G149/G$227)</f>
        <v/>
      </c>
      <c r="V149" s="9">
        <f>IF(H$227=0,0,H149/H$227)</f>
        <v/>
      </c>
      <c r="W149" s="9">
        <f>IF(I$227=0,0,I149/I$227)</f>
        <v/>
      </c>
      <c r="X149" s="9">
        <f>IF(J$227=0,0,J149/J$227)</f>
        <v/>
      </c>
      <c r="Y149" s="9">
        <f>IF(K$227=0,0,K149/K$227)</f>
        <v/>
      </c>
      <c r="Z149" s="9">
        <f>IF(L$227=0,0,L149/L$227)</f>
        <v/>
      </c>
      <c r="AA149" s="9">
        <f>IF(M$227=0,0,M149/M$227)</f>
        <v/>
      </c>
      <c r="AB149" s="9">
        <f>AVERAGE(P149,Q149,S149)</f>
        <v/>
      </c>
    </row>
    <row r="150">
      <c r="A150" s="6">
        <f>'3_TF'!A150</f>
        <v/>
      </c>
      <c r="B150" s="9">
        <f>'3_TF'!B150*'4_IDF'!$E150</f>
        <v/>
      </c>
      <c r="C150" s="9">
        <f>'3_TF'!C150*'4_IDF'!$E150</f>
        <v/>
      </c>
      <c r="D150" s="9">
        <f>'3_TF'!D150*'4_IDF'!$E150</f>
        <v/>
      </c>
      <c r="E150" s="9">
        <f>'3_TF'!E150*'4_IDF'!$E150</f>
        <v/>
      </c>
      <c r="F150" s="9">
        <f>'3_TF'!F150*'4_IDF'!$E150</f>
        <v/>
      </c>
      <c r="G150" s="9">
        <f>'3_TF'!G150*'4_IDF'!$E150</f>
        <v/>
      </c>
      <c r="H150" s="9">
        <f>'3_TF'!H150*'4_IDF'!$E150</f>
        <v/>
      </c>
      <c r="I150" s="9">
        <f>'3_TF'!I150*'4_IDF'!$E150</f>
        <v/>
      </c>
      <c r="J150" s="9">
        <f>'3_TF'!J150*'4_IDF'!$E150</f>
        <v/>
      </c>
      <c r="K150" s="9">
        <f>'3_TF'!K150*'4_IDF'!$E150</f>
        <v/>
      </c>
      <c r="L150" s="9">
        <f>'3_TF'!L150*'4_IDF'!$E150</f>
        <v/>
      </c>
      <c r="M150" s="9">
        <f>'3_TF'!M150*'4_IDF'!$E150</f>
        <v/>
      </c>
      <c r="O150" s="6">
        <f>A150</f>
        <v/>
      </c>
      <c r="P150" s="9">
        <f>IF(B$227=0,0,B150/B$227)</f>
        <v/>
      </c>
      <c r="Q150" s="9">
        <f>IF(C$227=0,0,C150/C$227)</f>
        <v/>
      </c>
      <c r="R150" s="9">
        <f>IF(D$227=0,0,D150/D$227)</f>
        <v/>
      </c>
      <c r="S150" s="9">
        <f>IF(E$227=0,0,E150/E$227)</f>
        <v/>
      </c>
      <c r="T150" s="9">
        <f>IF(F$227=0,0,F150/F$227)</f>
        <v/>
      </c>
      <c r="U150" s="9">
        <f>IF(G$227=0,0,G150/G$227)</f>
        <v/>
      </c>
      <c r="V150" s="9">
        <f>IF(H$227=0,0,H150/H$227)</f>
        <v/>
      </c>
      <c r="W150" s="9">
        <f>IF(I$227=0,0,I150/I$227)</f>
        <v/>
      </c>
      <c r="X150" s="9">
        <f>IF(J$227=0,0,J150/J$227)</f>
        <v/>
      </c>
      <c r="Y150" s="9">
        <f>IF(K$227=0,0,K150/K$227)</f>
        <v/>
      </c>
      <c r="Z150" s="9">
        <f>IF(L$227=0,0,L150/L$227)</f>
        <v/>
      </c>
      <c r="AA150" s="9">
        <f>IF(M$227=0,0,M150/M$227)</f>
        <v/>
      </c>
      <c r="AB150" s="9">
        <f>AVERAGE(P150,Q150,S150)</f>
        <v/>
      </c>
    </row>
    <row r="151">
      <c r="A151" s="6">
        <f>'3_TF'!A151</f>
        <v/>
      </c>
      <c r="B151" s="9">
        <f>'3_TF'!B151*'4_IDF'!$E151</f>
        <v/>
      </c>
      <c r="C151" s="9">
        <f>'3_TF'!C151*'4_IDF'!$E151</f>
        <v/>
      </c>
      <c r="D151" s="9">
        <f>'3_TF'!D151*'4_IDF'!$E151</f>
        <v/>
      </c>
      <c r="E151" s="9">
        <f>'3_TF'!E151*'4_IDF'!$E151</f>
        <v/>
      </c>
      <c r="F151" s="9">
        <f>'3_TF'!F151*'4_IDF'!$E151</f>
        <v/>
      </c>
      <c r="G151" s="9">
        <f>'3_TF'!G151*'4_IDF'!$E151</f>
        <v/>
      </c>
      <c r="H151" s="9">
        <f>'3_TF'!H151*'4_IDF'!$E151</f>
        <v/>
      </c>
      <c r="I151" s="9">
        <f>'3_TF'!I151*'4_IDF'!$E151</f>
        <v/>
      </c>
      <c r="J151" s="9">
        <f>'3_TF'!J151*'4_IDF'!$E151</f>
        <v/>
      </c>
      <c r="K151" s="9">
        <f>'3_TF'!K151*'4_IDF'!$E151</f>
        <v/>
      </c>
      <c r="L151" s="9">
        <f>'3_TF'!L151*'4_IDF'!$E151</f>
        <v/>
      </c>
      <c r="M151" s="9">
        <f>'3_TF'!M151*'4_IDF'!$E151</f>
        <v/>
      </c>
      <c r="O151" s="6">
        <f>A151</f>
        <v/>
      </c>
      <c r="P151" s="9">
        <f>IF(B$227=0,0,B151/B$227)</f>
        <v/>
      </c>
      <c r="Q151" s="9">
        <f>IF(C$227=0,0,C151/C$227)</f>
        <v/>
      </c>
      <c r="R151" s="9">
        <f>IF(D$227=0,0,D151/D$227)</f>
        <v/>
      </c>
      <c r="S151" s="9">
        <f>IF(E$227=0,0,E151/E$227)</f>
        <v/>
      </c>
      <c r="T151" s="9">
        <f>IF(F$227=0,0,F151/F$227)</f>
        <v/>
      </c>
      <c r="U151" s="9">
        <f>IF(G$227=0,0,G151/G$227)</f>
        <v/>
      </c>
      <c r="V151" s="9">
        <f>IF(H$227=0,0,H151/H$227)</f>
        <v/>
      </c>
      <c r="W151" s="9">
        <f>IF(I$227=0,0,I151/I$227)</f>
        <v/>
      </c>
      <c r="X151" s="9">
        <f>IF(J$227=0,0,J151/J$227)</f>
        <v/>
      </c>
      <c r="Y151" s="9">
        <f>IF(K$227=0,0,K151/K$227)</f>
        <v/>
      </c>
      <c r="Z151" s="9">
        <f>IF(L$227=0,0,L151/L$227)</f>
        <v/>
      </c>
      <c r="AA151" s="9">
        <f>IF(M$227=0,0,M151/M$227)</f>
        <v/>
      </c>
      <c r="AB151" s="9">
        <f>AVERAGE(P151,Q151,S151)</f>
        <v/>
      </c>
    </row>
    <row r="152">
      <c r="A152" s="6">
        <f>'3_TF'!A152</f>
        <v/>
      </c>
      <c r="B152" s="9">
        <f>'3_TF'!B152*'4_IDF'!$E152</f>
        <v/>
      </c>
      <c r="C152" s="9">
        <f>'3_TF'!C152*'4_IDF'!$E152</f>
        <v/>
      </c>
      <c r="D152" s="9">
        <f>'3_TF'!D152*'4_IDF'!$E152</f>
        <v/>
      </c>
      <c r="E152" s="9">
        <f>'3_TF'!E152*'4_IDF'!$E152</f>
        <v/>
      </c>
      <c r="F152" s="9">
        <f>'3_TF'!F152*'4_IDF'!$E152</f>
        <v/>
      </c>
      <c r="G152" s="9">
        <f>'3_TF'!G152*'4_IDF'!$E152</f>
        <v/>
      </c>
      <c r="H152" s="9">
        <f>'3_TF'!H152*'4_IDF'!$E152</f>
        <v/>
      </c>
      <c r="I152" s="9">
        <f>'3_TF'!I152*'4_IDF'!$E152</f>
        <v/>
      </c>
      <c r="J152" s="9">
        <f>'3_TF'!J152*'4_IDF'!$E152</f>
        <v/>
      </c>
      <c r="K152" s="9">
        <f>'3_TF'!K152*'4_IDF'!$E152</f>
        <v/>
      </c>
      <c r="L152" s="9">
        <f>'3_TF'!L152*'4_IDF'!$E152</f>
        <v/>
      </c>
      <c r="M152" s="9">
        <f>'3_TF'!M152*'4_IDF'!$E152</f>
        <v/>
      </c>
      <c r="O152" s="6">
        <f>A152</f>
        <v/>
      </c>
      <c r="P152" s="9">
        <f>IF(B$227=0,0,B152/B$227)</f>
        <v/>
      </c>
      <c r="Q152" s="9">
        <f>IF(C$227=0,0,C152/C$227)</f>
        <v/>
      </c>
      <c r="R152" s="9">
        <f>IF(D$227=0,0,D152/D$227)</f>
        <v/>
      </c>
      <c r="S152" s="9">
        <f>IF(E$227=0,0,E152/E$227)</f>
        <v/>
      </c>
      <c r="T152" s="9">
        <f>IF(F$227=0,0,F152/F$227)</f>
        <v/>
      </c>
      <c r="U152" s="9">
        <f>IF(G$227=0,0,G152/G$227)</f>
        <v/>
      </c>
      <c r="V152" s="9">
        <f>IF(H$227=0,0,H152/H$227)</f>
        <v/>
      </c>
      <c r="W152" s="9">
        <f>IF(I$227=0,0,I152/I$227)</f>
        <v/>
      </c>
      <c r="X152" s="9">
        <f>IF(J$227=0,0,J152/J$227)</f>
        <v/>
      </c>
      <c r="Y152" s="9">
        <f>IF(K$227=0,0,K152/K$227)</f>
        <v/>
      </c>
      <c r="Z152" s="9">
        <f>IF(L$227=0,0,L152/L$227)</f>
        <v/>
      </c>
      <c r="AA152" s="9">
        <f>IF(M$227=0,0,M152/M$227)</f>
        <v/>
      </c>
      <c r="AB152" s="9">
        <f>AVERAGE(P152,Q152,S152)</f>
        <v/>
      </c>
    </row>
    <row r="153">
      <c r="A153" s="6">
        <f>'3_TF'!A153</f>
        <v/>
      </c>
      <c r="B153" s="9">
        <f>'3_TF'!B153*'4_IDF'!$E153</f>
        <v/>
      </c>
      <c r="C153" s="9">
        <f>'3_TF'!C153*'4_IDF'!$E153</f>
        <v/>
      </c>
      <c r="D153" s="9">
        <f>'3_TF'!D153*'4_IDF'!$E153</f>
        <v/>
      </c>
      <c r="E153" s="9">
        <f>'3_TF'!E153*'4_IDF'!$E153</f>
        <v/>
      </c>
      <c r="F153" s="9">
        <f>'3_TF'!F153*'4_IDF'!$E153</f>
        <v/>
      </c>
      <c r="G153" s="9">
        <f>'3_TF'!G153*'4_IDF'!$E153</f>
        <v/>
      </c>
      <c r="H153" s="9">
        <f>'3_TF'!H153*'4_IDF'!$E153</f>
        <v/>
      </c>
      <c r="I153" s="9">
        <f>'3_TF'!I153*'4_IDF'!$E153</f>
        <v/>
      </c>
      <c r="J153" s="9">
        <f>'3_TF'!J153*'4_IDF'!$E153</f>
        <v/>
      </c>
      <c r="K153" s="9">
        <f>'3_TF'!K153*'4_IDF'!$E153</f>
        <v/>
      </c>
      <c r="L153" s="9">
        <f>'3_TF'!L153*'4_IDF'!$E153</f>
        <v/>
      </c>
      <c r="M153" s="9">
        <f>'3_TF'!M153*'4_IDF'!$E153</f>
        <v/>
      </c>
      <c r="O153" s="6">
        <f>A153</f>
        <v/>
      </c>
      <c r="P153" s="9">
        <f>IF(B$227=0,0,B153/B$227)</f>
        <v/>
      </c>
      <c r="Q153" s="9">
        <f>IF(C$227=0,0,C153/C$227)</f>
        <v/>
      </c>
      <c r="R153" s="9">
        <f>IF(D$227=0,0,D153/D$227)</f>
        <v/>
      </c>
      <c r="S153" s="9">
        <f>IF(E$227=0,0,E153/E$227)</f>
        <v/>
      </c>
      <c r="T153" s="9">
        <f>IF(F$227=0,0,F153/F$227)</f>
        <v/>
      </c>
      <c r="U153" s="9">
        <f>IF(G$227=0,0,G153/G$227)</f>
        <v/>
      </c>
      <c r="V153" s="9">
        <f>IF(H$227=0,0,H153/H$227)</f>
        <v/>
      </c>
      <c r="W153" s="9">
        <f>IF(I$227=0,0,I153/I$227)</f>
        <v/>
      </c>
      <c r="X153" s="9">
        <f>IF(J$227=0,0,J153/J$227)</f>
        <v/>
      </c>
      <c r="Y153" s="9">
        <f>IF(K$227=0,0,K153/K$227)</f>
        <v/>
      </c>
      <c r="Z153" s="9">
        <f>IF(L$227=0,0,L153/L$227)</f>
        <v/>
      </c>
      <c r="AA153" s="9">
        <f>IF(M$227=0,0,M153/M$227)</f>
        <v/>
      </c>
      <c r="AB153" s="9">
        <f>AVERAGE(P153,Q153,S153)</f>
        <v/>
      </c>
    </row>
    <row r="154">
      <c r="A154" s="6">
        <f>'3_TF'!A154</f>
        <v/>
      </c>
      <c r="B154" s="9">
        <f>'3_TF'!B154*'4_IDF'!$E154</f>
        <v/>
      </c>
      <c r="C154" s="9">
        <f>'3_TF'!C154*'4_IDF'!$E154</f>
        <v/>
      </c>
      <c r="D154" s="9">
        <f>'3_TF'!D154*'4_IDF'!$E154</f>
        <v/>
      </c>
      <c r="E154" s="9">
        <f>'3_TF'!E154*'4_IDF'!$E154</f>
        <v/>
      </c>
      <c r="F154" s="9">
        <f>'3_TF'!F154*'4_IDF'!$E154</f>
        <v/>
      </c>
      <c r="G154" s="9">
        <f>'3_TF'!G154*'4_IDF'!$E154</f>
        <v/>
      </c>
      <c r="H154" s="9">
        <f>'3_TF'!H154*'4_IDF'!$E154</f>
        <v/>
      </c>
      <c r="I154" s="9">
        <f>'3_TF'!I154*'4_IDF'!$E154</f>
        <v/>
      </c>
      <c r="J154" s="9">
        <f>'3_TF'!J154*'4_IDF'!$E154</f>
        <v/>
      </c>
      <c r="K154" s="9">
        <f>'3_TF'!K154*'4_IDF'!$E154</f>
        <v/>
      </c>
      <c r="L154" s="9">
        <f>'3_TF'!L154*'4_IDF'!$E154</f>
        <v/>
      </c>
      <c r="M154" s="9">
        <f>'3_TF'!M154*'4_IDF'!$E154</f>
        <v/>
      </c>
      <c r="O154" s="6">
        <f>A154</f>
        <v/>
      </c>
      <c r="P154" s="9">
        <f>IF(B$227=0,0,B154/B$227)</f>
        <v/>
      </c>
      <c r="Q154" s="9">
        <f>IF(C$227=0,0,C154/C$227)</f>
        <v/>
      </c>
      <c r="R154" s="9">
        <f>IF(D$227=0,0,D154/D$227)</f>
        <v/>
      </c>
      <c r="S154" s="9">
        <f>IF(E$227=0,0,E154/E$227)</f>
        <v/>
      </c>
      <c r="T154" s="9">
        <f>IF(F$227=0,0,F154/F$227)</f>
        <v/>
      </c>
      <c r="U154" s="9">
        <f>IF(G$227=0,0,G154/G$227)</f>
        <v/>
      </c>
      <c r="V154" s="9">
        <f>IF(H$227=0,0,H154/H$227)</f>
        <v/>
      </c>
      <c r="W154" s="9">
        <f>IF(I$227=0,0,I154/I$227)</f>
        <v/>
      </c>
      <c r="X154" s="9">
        <f>IF(J$227=0,0,J154/J$227)</f>
        <v/>
      </c>
      <c r="Y154" s="9">
        <f>IF(K$227=0,0,K154/K$227)</f>
        <v/>
      </c>
      <c r="Z154" s="9">
        <f>IF(L$227=0,0,L154/L$227)</f>
        <v/>
      </c>
      <c r="AA154" s="9">
        <f>IF(M$227=0,0,M154/M$227)</f>
        <v/>
      </c>
      <c r="AB154" s="9">
        <f>AVERAGE(P154,Q154,S154)</f>
        <v/>
      </c>
    </row>
    <row r="155">
      <c r="A155" s="6">
        <f>'3_TF'!A155</f>
        <v/>
      </c>
      <c r="B155" s="9">
        <f>'3_TF'!B155*'4_IDF'!$E155</f>
        <v/>
      </c>
      <c r="C155" s="9">
        <f>'3_TF'!C155*'4_IDF'!$E155</f>
        <v/>
      </c>
      <c r="D155" s="9">
        <f>'3_TF'!D155*'4_IDF'!$E155</f>
        <v/>
      </c>
      <c r="E155" s="9">
        <f>'3_TF'!E155*'4_IDF'!$E155</f>
        <v/>
      </c>
      <c r="F155" s="9">
        <f>'3_TF'!F155*'4_IDF'!$E155</f>
        <v/>
      </c>
      <c r="G155" s="9">
        <f>'3_TF'!G155*'4_IDF'!$E155</f>
        <v/>
      </c>
      <c r="H155" s="9">
        <f>'3_TF'!H155*'4_IDF'!$E155</f>
        <v/>
      </c>
      <c r="I155" s="9">
        <f>'3_TF'!I155*'4_IDF'!$E155</f>
        <v/>
      </c>
      <c r="J155" s="9">
        <f>'3_TF'!J155*'4_IDF'!$E155</f>
        <v/>
      </c>
      <c r="K155" s="9">
        <f>'3_TF'!K155*'4_IDF'!$E155</f>
        <v/>
      </c>
      <c r="L155" s="9">
        <f>'3_TF'!L155*'4_IDF'!$E155</f>
        <v/>
      </c>
      <c r="M155" s="9">
        <f>'3_TF'!M155*'4_IDF'!$E155</f>
        <v/>
      </c>
      <c r="O155" s="6">
        <f>A155</f>
        <v/>
      </c>
      <c r="P155" s="9">
        <f>IF(B$227=0,0,B155/B$227)</f>
        <v/>
      </c>
      <c r="Q155" s="9">
        <f>IF(C$227=0,0,C155/C$227)</f>
        <v/>
      </c>
      <c r="R155" s="9">
        <f>IF(D$227=0,0,D155/D$227)</f>
        <v/>
      </c>
      <c r="S155" s="9">
        <f>IF(E$227=0,0,E155/E$227)</f>
        <v/>
      </c>
      <c r="T155" s="9">
        <f>IF(F$227=0,0,F155/F$227)</f>
        <v/>
      </c>
      <c r="U155" s="9">
        <f>IF(G$227=0,0,G155/G$227)</f>
        <v/>
      </c>
      <c r="V155" s="9">
        <f>IF(H$227=0,0,H155/H$227)</f>
        <v/>
      </c>
      <c r="W155" s="9">
        <f>IF(I$227=0,0,I155/I$227)</f>
        <v/>
      </c>
      <c r="X155" s="9">
        <f>IF(J$227=0,0,J155/J$227)</f>
        <v/>
      </c>
      <c r="Y155" s="9">
        <f>IF(K$227=0,0,K155/K$227)</f>
        <v/>
      </c>
      <c r="Z155" s="9">
        <f>IF(L$227=0,0,L155/L$227)</f>
        <v/>
      </c>
      <c r="AA155" s="9">
        <f>IF(M$227=0,0,M155/M$227)</f>
        <v/>
      </c>
      <c r="AB155" s="9">
        <f>AVERAGE(P155,Q155,S155)</f>
        <v/>
      </c>
    </row>
    <row r="156">
      <c r="A156" s="6">
        <f>'3_TF'!A156</f>
        <v/>
      </c>
      <c r="B156" s="9">
        <f>'3_TF'!B156*'4_IDF'!$E156</f>
        <v/>
      </c>
      <c r="C156" s="9">
        <f>'3_TF'!C156*'4_IDF'!$E156</f>
        <v/>
      </c>
      <c r="D156" s="9">
        <f>'3_TF'!D156*'4_IDF'!$E156</f>
        <v/>
      </c>
      <c r="E156" s="9">
        <f>'3_TF'!E156*'4_IDF'!$E156</f>
        <v/>
      </c>
      <c r="F156" s="9">
        <f>'3_TF'!F156*'4_IDF'!$E156</f>
        <v/>
      </c>
      <c r="G156" s="9">
        <f>'3_TF'!G156*'4_IDF'!$E156</f>
        <v/>
      </c>
      <c r="H156" s="9">
        <f>'3_TF'!H156*'4_IDF'!$E156</f>
        <v/>
      </c>
      <c r="I156" s="9">
        <f>'3_TF'!I156*'4_IDF'!$E156</f>
        <v/>
      </c>
      <c r="J156" s="9">
        <f>'3_TF'!J156*'4_IDF'!$E156</f>
        <v/>
      </c>
      <c r="K156" s="9">
        <f>'3_TF'!K156*'4_IDF'!$E156</f>
        <v/>
      </c>
      <c r="L156" s="9">
        <f>'3_TF'!L156*'4_IDF'!$E156</f>
        <v/>
      </c>
      <c r="M156" s="9">
        <f>'3_TF'!M156*'4_IDF'!$E156</f>
        <v/>
      </c>
      <c r="O156" s="6">
        <f>A156</f>
        <v/>
      </c>
      <c r="P156" s="9">
        <f>IF(B$227=0,0,B156/B$227)</f>
        <v/>
      </c>
      <c r="Q156" s="9">
        <f>IF(C$227=0,0,C156/C$227)</f>
        <v/>
      </c>
      <c r="R156" s="9">
        <f>IF(D$227=0,0,D156/D$227)</f>
        <v/>
      </c>
      <c r="S156" s="9">
        <f>IF(E$227=0,0,E156/E$227)</f>
        <v/>
      </c>
      <c r="T156" s="9">
        <f>IF(F$227=0,0,F156/F$227)</f>
        <v/>
      </c>
      <c r="U156" s="9">
        <f>IF(G$227=0,0,G156/G$227)</f>
        <v/>
      </c>
      <c r="V156" s="9">
        <f>IF(H$227=0,0,H156/H$227)</f>
        <v/>
      </c>
      <c r="W156" s="9">
        <f>IF(I$227=0,0,I156/I$227)</f>
        <v/>
      </c>
      <c r="X156" s="9">
        <f>IF(J$227=0,0,J156/J$227)</f>
        <v/>
      </c>
      <c r="Y156" s="9">
        <f>IF(K$227=0,0,K156/K$227)</f>
        <v/>
      </c>
      <c r="Z156" s="9">
        <f>IF(L$227=0,0,L156/L$227)</f>
        <v/>
      </c>
      <c r="AA156" s="9">
        <f>IF(M$227=0,0,M156/M$227)</f>
        <v/>
      </c>
      <c r="AB156" s="9">
        <f>AVERAGE(P156,Q156,S156)</f>
        <v/>
      </c>
    </row>
    <row r="157">
      <c r="A157" s="6">
        <f>'3_TF'!A157</f>
        <v/>
      </c>
      <c r="B157" s="9">
        <f>'3_TF'!B157*'4_IDF'!$E157</f>
        <v/>
      </c>
      <c r="C157" s="9">
        <f>'3_TF'!C157*'4_IDF'!$E157</f>
        <v/>
      </c>
      <c r="D157" s="9">
        <f>'3_TF'!D157*'4_IDF'!$E157</f>
        <v/>
      </c>
      <c r="E157" s="9">
        <f>'3_TF'!E157*'4_IDF'!$E157</f>
        <v/>
      </c>
      <c r="F157" s="9">
        <f>'3_TF'!F157*'4_IDF'!$E157</f>
        <v/>
      </c>
      <c r="G157" s="9">
        <f>'3_TF'!G157*'4_IDF'!$E157</f>
        <v/>
      </c>
      <c r="H157" s="9">
        <f>'3_TF'!H157*'4_IDF'!$E157</f>
        <v/>
      </c>
      <c r="I157" s="9">
        <f>'3_TF'!I157*'4_IDF'!$E157</f>
        <v/>
      </c>
      <c r="J157" s="9">
        <f>'3_TF'!J157*'4_IDF'!$E157</f>
        <v/>
      </c>
      <c r="K157" s="9">
        <f>'3_TF'!K157*'4_IDF'!$E157</f>
        <v/>
      </c>
      <c r="L157" s="9">
        <f>'3_TF'!L157*'4_IDF'!$E157</f>
        <v/>
      </c>
      <c r="M157" s="9">
        <f>'3_TF'!M157*'4_IDF'!$E157</f>
        <v/>
      </c>
      <c r="O157" s="6">
        <f>A157</f>
        <v/>
      </c>
      <c r="P157" s="9">
        <f>IF(B$227=0,0,B157/B$227)</f>
        <v/>
      </c>
      <c r="Q157" s="9">
        <f>IF(C$227=0,0,C157/C$227)</f>
        <v/>
      </c>
      <c r="R157" s="9">
        <f>IF(D$227=0,0,D157/D$227)</f>
        <v/>
      </c>
      <c r="S157" s="9">
        <f>IF(E$227=0,0,E157/E$227)</f>
        <v/>
      </c>
      <c r="T157" s="9">
        <f>IF(F$227=0,0,F157/F$227)</f>
        <v/>
      </c>
      <c r="U157" s="9">
        <f>IF(G$227=0,0,G157/G$227)</f>
        <v/>
      </c>
      <c r="V157" s="9">
        <f>IF(H$227=0,0,H157/H$227)</f>
        <v/>
      </c>
      <c r="W157" s="9">
        <f>IF(I$227=0,0,I157/I$227)</f>
        <v/>
      </c>
      <c r="X157" s="9">
        <f>IF(J$227=0,0,J157/J$227)</f>
        <v/>
      </c>
      <c r="Y157" s="9">
        <f>IF(K$227=0,0,K157/K$227)</f>
        <v/>
      </c>
      <c r="Z157" s="9">
        <f>IF(L$227=0,0,L157/L$227)</f>
        <v/>
      </c>
      <c r="AA157" s="9">
        <f>IF(M$227=0,0,M157/M$227)</f>
        <v/>
      </c>
      <c r="AB157" s="9">
        <f>AVERAGE(P157,Q157,S157)</f>
        <v/>
      </c>
    </row>
    <row r="158">
      <c r="A158" s="6">
        <f>'3_TF'!A158</f>
        <v/>
      </c>
      <c r="B158" s="9">
        <f>'3_TF'!B158*'4_IDF'!$E158</f>
        <v/>
      </c>
      <c r="C158" s="9">
        <f>'3_TF'!C158*'4_IDF'!$E158</f>
        <v/>
      </c>
      <c r="D158" s="9">
        <f>'3_TF'!D158*'4_IDF'!$E158</f>
        <v/>
      </c>
      <c r="E158" s="9">
        <f>'3_TF'!E158*'4_IDF'!$E158</f>
        <v/>
      </c>
      <c r="F158" s="9">
        <f>'3_TF'!F158*'4_IDF'!$E158</f>
        <v/>
      </c>
      <c r="G158" s="9">
        <f>'3_TF'!G158*'4_IDF'!$E158</f>
        <v/>
      </c>
      <c r="H158" s="9">
        <f>'3_TF'!H158*'4_IDF'!$E158</f>
        <v/>
      </c>
      <c r="I158" s="9">
        <f>'3_TF'!I158*'4_IDF'!$E158</f>
        <v/>
      </c>
      <c r="J158" s="9">
        <f>'3_TF'!J158*'4_IDF'!$E158</f>
        <v/>
      </c>
      <c r="K158" s="9">
        <f>'3_TF'!K158*'4_IDF'!$E158</f>
        <v/>
      </c>
      <c r="L158" s="9">
        <f>'3_TF'!L158*'4_IDF'!$E158</f>
        <v/>
      </c>
      <c r="M158" s="9">
        <f>'3_TF'!M158*'4_IDF'!$E158</f>
        <v/>
      </c>
      <c r="O158" s="6">
        <f>A158</f>
        <v/>
      </c>
      <c r="P158" s="9">
        <f>IF(B$227=0,0,B158/B$227)</f>
        <v/>
      </c>
      <c r="Q158" s="9">
        <f>IF(C$227=0,0,C158/C$227)</f>
        <v/>
      </c>
      <c r="R158" s="9">
        <f>IF(D$227=0,0,D158/D$227)</f>
        <v/>
      </c>
      <c r="S158" s="9">
        <f>IF(E$227=0,0,E158/E$227)</f>
        <v/>
      </c>
      <c r="T158" s="9">
        <f>IF(F$227=0,0,F158/F$227)</f>
        <v/>
      </c>
      <c r="U158" s="9">
        <f>IF(G$227=0,0,G158/G$227)</f>
        <v/>
      </c>
      <c r="V158" s="9">
        <f>IF(H$227=0,0,H158/H$227)</f>
        <v/>
      </c>
      <c r="W158" s="9">
        <f>IF(I$227=0,0,I158/I$227)</f>
        <v/>
      </c>
      <c r="X158" s="9">
        <f>IF(J$227=0,0,J158/J$227)</f>
        <v/>
      </c>
      <c r="Y158" s="9">
        <f>IF(K$227=0,0,K158/K$227)</f>
        <v/>
      </c>
      <c r="Z158" s="9">
        <f>IF(L$227=0,0,L158/L$227)</f>
        <v/>
      </c>
      <c r="AA158" s="9">
        <f>IF(M$227=0,0,M158/M$227)</f>
        <v/>
      </c>
      <c r="AB158" s="9">
        <f>AVERAGE(P158,Q158,S158)</f>
        <v/>
      </c>
    </row>
    <row r="159">
      <c r="A159" s="6">
        <f>'3_TF'!A159</f>
        <v/>
      </c>
      <c r="B159" s="9">
        <f>'3_TF'!B159*'4_IDF'!$E159</f>
        <v/>
      </c>
      <c r="C159" s="9">
        <f>'3_TF'!C159*'4_IDF'!$E159</f>
        <v/>
      </c>
      <c r="D159" s="9">
        <f>'3_TF'!D159*'4_IDF'!$E159</f>
        <v/>
      </c>
      <c r="E159" s="9">
        <f>'3_TF'!E159*'4_IDF'!$E159</f>
        <v/>
      </c>
      <c r="F159" s="9">
        <f>'3_TF'!F159*'4_IDF'!$E159</f>
        <v/>
      </c>
      <c r="G159" s="9">
        <f>'3_TF'!G159*'4_IDF'!$E159</f>
        <v/>
      </c>
      <c r="H159" s="9">
        <f>'3_TF'!H159*'4_IDF'!$E159</f>
        <v/>
      </c>
      <c r="I159" s="9">
        <f>'3_TF'!I159*'4_IDF'!$E159</f>
        <v/>
      </c>
      <c r="J159" s="9">
        <f>'3_TF'!J159*'4_IDF'!$E159</f>
        <v/>
      </c>
      <c r="K159" s="9">
        <f>'3_TF'!K159*'4_IDF'!$E159</f>
        <v/>
      </c>
      <c r="L159" s="9">
        <f>'3_TF'!L159*'4_IDF'!$E159</f>
        <v/>
      </c>
      <c r="M159" s="9">
        <f>'3_TF'!M159*'4_IDF'!$E159</f>
        <v/>
      </c>
      <c r="O159" s="6">
        <f>A159</f>
        <v/>
      </c>
      <c r="P159" s="9">
        <f>IF(B$227=0,0,B159/B$227)</f>
        <v/>
      </c>
      <c r="Q159" s="9">
        <f>IF(C$227=0,0,C159/C$227)</f>
        <v/>
      </c>
      <c r="R159" s="9">
        <f>IF(D$227=0,0,D159/D$227)</f>
        <v/>
      </c>
      <c r="S159" s="9">
        <f>IF(E$227=0,0,E159/E$227)</f>
        <v/>
      </c>
      <c r="T159" s="9">
        <f>IF(F$227=0,0,F159/F$227)</f>
        <v/>
      </c>
      <c r="U159" s="9">
        <f>IF(G$227=0,0,G159/G$227)</f>
        <v/>
      </c>
      <c r="V159" s="9">
        <f>IF(H$227=0,0,H159/H$227)</f>
        <v/>
      </c>
      <c r="W159" s="9">
        <f>IF(I$227=0,0,I159/I$227)</f>
        <v/>
      </c>
      <c r="X159" s="9">
        <f>IF(J$227=0,0,J159/J$227)</f>
        <v/>
      </c>
      <c r="Y159" s="9">
        <f>IF(K$227=0,0,K159/K$227)</f>
        <v/>
      </c>
      <c r="Z159" s="9">
        <f>IF(L$227=0,0,L159/L$227)</f>
        <v/>
      </c>
      <c r="AA159" s="9">
        <f>IF(M$227=0,0,M159/M$227)</f>
        <v/>
      </c>
      <c r="AB159" s="9">
        <f>AVERAGE(P159,Q159,S159)</f>
        <v/>
      </c>
    </row>
    <row r="160">
      <c r="A160" s="6">
        <f>'3_TF'!A160</f>
        <v/>
      </c>
      <c r="B160" s="9">
        <f>'3_TF'!B160*'4_IDF'!$E160</f>
        <v/>
      </c>
      <c r="C160" s="9">
        <f>'3_TF'!C160*'4_IDF'!$E160</f>
        <v/>
      </c>
      <c r="D160" s="9">
        <f>'3_TF'!D160*'4_IDF'!$E160</f>
        <v/>
      </c>
      <c r="E160" s="9">
        <f>'3_TF'!E160*'4_IDF'!$E160</f>
        <v/>
      </c>
      <c r="F160" s="9">
        <f>'3_TF'!F160*'4_IDF'!$E160</f>
        <v/>
      </c>
      <c r="G160" s="9">
        <f>'3_TF'!G160*'4_IDF'!$E160</f>
        <v/>
      </c>
      <c r="H160" s="9">
        <f>'3_TF'!H160*'4_IDF'!$E160</f>
        <v/>
      </c>
      <c r="I160" s="9">
        <f>'3_TF'!I160*'4_IDF'!$E160</f>
        <v/>
      </c>
      <c r="J160" s="9">
        <f>'3_TF'!J160*'4_IDF'!$E160</f>
        <v/>
      </c>
      <c r="K160" s="9">
        <f>'3_TF'!K160*'4_IDF'!$E160</f>
        <v/>
      </c>
      <c r="L160" s="9">
        <f>'3_TF'!L160*'4_IDF'!$E160</f>
        <v/>
      </c>
      <c r="M160" s="9">
        <f>'3_TF'!M160*'4_IDF'!$E160</f>
        <v/>
      </c>
      <c r="O160" s="6">
        <f>A160</f>
        <v/>
      </c>
      <c r="P160" s="9">
        <f>IF(B$227=0,0,B160/B$227)</f>
        <v/>
      </c>
      <c r="Q160" s="9">
        <f>IF(C$227=0,0,C160/C$227)</f>
        <v/>
      </c>
      <c r="R160" s="9">
        <f>IF(D$227=0,0,D160/D$227)</f>
        <v/>
      </c>
      <c r="S160" s="9">
        <f>IF(E$227=0,0,E160/E$227)</f>
        <v/>
      </c>
      <c r="T160" s="9">
        <f>IF(F$227=0,0,F160/F$227)</f>
        <v/>
      </c>
      <c r="U160" s="9">
        <f>IF(G$227=0,0,G160/G$227)</f>
        <v/>
      </c>
      <c r="V160" s="9">
        <f>IF(H$227=0,0,H160/H$227)</f>
        <v/>
      </c>
      <c r="W160" s="9">
        <f>IF(I$227=0,0,I160/I$227)</f>
        <v/>
      </c>
      <c r="X160" s="9">
        <f>IF(J$227=0,0,J160/J$227)</f>
        <v/>
      </c>
      <c r="Y160" s="9">
        <f>IF(K$227=0,0,K160/K$227)</f>
        <v/>
      </c>
      <c r="Z160" s="9">
        <f>IF(L$227=0,0,L160/L$227)</f>
        <v/>
      </c>
      <c r="AA160" s="9">
        <f>IF(M$227=0,0,M160/M$227)</f>
        <v/>
      </c>
      <c r="AB160" s="9">
        <f>AVERAGE(P160,Q160,S160)</f>
        <v/>
      </c>
    </row>
    <row r="161">
      <c r="A161" s="6">
        <f>'3_TF'!A161</f>
        <v/>
      </c>
      <c r="B161" s="9">
        <f>'3_TF'!B161*'4_IDF'!$E161</f>
        <v/>
      </c>
      <c r="C161" s="9">
        <f>'3_TF'!C161*'4_IDF'!$E161</f>
        <v/>
      </c>
      <c r="D161" s="9">
        <f>'3_TF'!D161*'4_IDF'!$E161</f>
        <v/>
      </c>
      <c r="E161" s="9">
        <f>'3_TF'!E161*'4_IDF'!$E161</f>
        <v/>
      </c>
      <c r="F161" s="9">
        <f>'3_TF'!F161*'4_IDF'!$E161</f>
        <v/>
      </c>
      <c r="G161" s="9">
        <f>'3_TF'!G161*'4_IDF'!$E161</f>
        <v/>
      </c>
      <c r="H161" s="9">
        <f>'3_TF'!H161*'4_IDF'!$E161</f>
        <v/>
      </c>
      <c r="I161" s="9">
        <f>'3_TF'!I161*'4_IDF'!$E161</f>
        <v/>
      </c>
      <c r="J161" s="9">
        <f>'3_TF'!J161*'4_IDF'!$E161</f>
        <v/>
      </c>
      <c r="K161" s="9">
        <f>'3_TF'!K161*'4_IDF'!$E161</f>
        <v/>
      </c>
      <c r="L161" s="9">
        <f>'3_TF'!L161*'4_IDF'!$E161</f>
        <v/>
      </c>
      <c r="M161" s="9">
        <f>'3_TF'!M161*'4_IDF'!$E161</f>
        <v/>
      </c>
      <c r="O161" s="6">
        <f>A161</f>
        <v/>
      </c>
      <c r="P161" s="9">
        <f>IF(B$227=0,0,B161/B$227)</f>
        <v/>
      </c>
      <c r="Q161" s="9">
        <f>IF(C$227=0,0,C161/C$227)</f>
        <v/>
      </c>
      <c r="R161" s="9">
        <f>IF(D$227=0,0,D161/D$227)</f>
        <v/>
      </c>
      <c r="S161" s="9">
        <f>IF(E$227=0,0,E161/E$227)</f>
        <v/>
      </c>
      <c r="T161" s="9">
        <f>IF(F$227=0,0,F161/F$227)</f>
        <v/>
      </c>
      <c r="U161" s="9">
        <f>IF(G$227=0,0,G161/G$227)</f>
        <v/>
      </c>
      <c r="V161" s="9">
        <f>IF(H$227=0,0,H161/H$227)</f>
        <v/>
      </c>
      <c r="W161" s="9">
        <f>IF(I$227=0,0,I161/I$227)</f>
        <v/>
      </c>
      <c r="X161" s="9">
        <f>IF(J$227=0,0,J161/J$227)</f>
        <v/>
      </c>
      <c r="Y161" s="9">
        <f>IF(K$227=0,0,K161/K$227)</f>
        <v/>
      </c>
      <c r="Z161" s="9">
        <f>IF(L$227=0,0,L161/L$227)</f>
        <v/>
      </c>
      <c r="AA161" s="9">
        <f>IF(M$227=0,0,M161/M$227)</f>
        <v/>
      </c>
      <c r="AB161" s="9">
        <f>AVERAGE(P161,Q161,S161)</f>
        <v/>
      </c>
    </row>
    <row r="162">
      <c r="A162" s="6">
        <f>'3_TF'!A162</f>
        <v/>
      </c>
      <c r="B162" s="9">
        <f>'3_TF'!B162*'4_IDF'!$E162</f>
        <v/>
      </c>
      <c r="C162" s="9">
        <f>'3_TF'!C162*'4_IDF'!$E162</f>
        <v/>
      </c>
      <c r="D162" s="9">
        <f>'3_TF'!D162*'4_IDF'!$E162</f>
        <v/>
      </c>
      <c r="E162" s="9">
        <f>'3_TF'!E162*'4_IDF'!$E162</f>
        <v/>
      </c>
      <c r="F162" s="9">
        <f>'3_TF'!F162*'4_IDF'!$E162</f>
        <v/>
      </c>
      <c r="G162" s="9">
        <f>'3_TF'!G162*'4_IDF'!$E162</f>
        <v/>
      </c>
      <c r="H162" s="9">
        <f>'3_TF'!H162*'4_IDF'!$E162</f>
        <v/>
      </c>
      <c r="I162" s="9">
        <f>'3_TF'!I162*'4_IDF'!$E162</f>
        <v/>
      </c>
      <c r="J162" s="9">
        <f>'3_TF'!J162*'4_IDF'!$E162</f>
        <v/>
      </c>
      <c r="K162" s="9">
        <f>'3_TF'!K162*'4_IDF'!$E162</f>
        <v/>
      </c>
      <c r="L162" s="9">
        <f>'3_TF'!L162*'4_IDF'!$E162</f>
        <v/>
      </c>
      <c r="M162" s="9">
        <f>'3_TF'!M162*'4_IDF'!$E162</f>
        <v/>
      </c>
      <c r="O162" s="6">
        <f>A162</f>
        <v/>
      </c>
      <c r="P162" s="9">
        <f>IF(B$227=0,0,B162/B$227)</f>
        <v/>
      </c>
      <c r="Q162" s="9">
        <f>IF(C$227=0,0,C162/C$227)</f>
        <v/>
      </c>
      <c r="R162" s="9">
        <f>IF(D$227=0,0,D162/D$227)</f>
        <v/>
      </c>
      <c r="S162" s="9">
        <f>IF(E$227=0,0,E162/E$227)</f>
        <v/>
      </c>
      <c r="T162" s="9">
        <f>IF(F$227=0,0,F162/F$227)</f>
        <v/>
      </c>
      <c r="U162" s="9">
        <f>IF(G$227=0,0,G162/G$227)</f>
        <v/>
      </c>
      <c r="V162" s="9">
        <f>IF(H$227=0,0,H162/H$227)</f>
        <v/>
      </c>
      <c r="W162" s="9">
        <f>IF(I$227=0,0,I162/I$227)</f>
        <v/>
      </c>
      <c r="X162" s="9">
        <f>IF(J$227=0,0,J162/J$227)</f>
        <v/>
      </c>
      <c r="Y162" s="9">
        <f>IF(K$227=0,0,K162/K$227)</f>
        <v/>
      </c>
      <c r="Z162" s="9">
        <f>IF(L$227=0,0,L162/L$227)</f>
        <v/>
      </c>
      <c r="AA162" s="9">
        <f>IF(M$227=0,0,M162/M$227)</f>
        <v/>
      </c>
      <c r="AB162" s="9">
        <f>AVERAGE(P162,Q162,S162)</f>
        <v/>
      </c>
    </row>
    <row r="163">
      <c r="A163" s="6">
        <f>'3_TF'!A163</f>
        <v/>
      </c>
      <c r="B163" s="9">
        <f>'3_TF'!B163*'4_IDF'!$E163</f>
        <v/>
      </c>
      <c r="C163" s="9">
        <f>'3_TF'!C163*'4_IDF'!$E163</f>
        <v/>
      </c>
      <c r="D163" s="9">
        <f>'3_TF'!D163*'4_IDF'!$E163</f>
        <v/>
      </c>
      <c r="E163" s="9">
        <f>'3_TF'!E163*'4_IDF'!$E163</f>
        <v/>
      </c>
      <c r="F163" s="9">
        <f>'3_TF'!F163*'4_IDF'!$E163</f>
        <v/>
      </c>
      <c r="G163" s="9">
        <f>'3_TF'!G163*'4_IDF'!$E163</f>
        <v/>
      </c>
      <c r="H163" s="9">
        <f>'3_TF'!H163*'4_IDF'!$E163</f>
        <v/>
      </c>
      <c r="I163" s="9">
        <f>'3_TF'!I163*'4_IDF'!$E163</f>
        <v/>
      </c>
      <c r="J163" s="9">
        <f>'3_TF'!J163*'4_IDF'!$E163</f>
        <v/>
      </c>
      <c r="K163" s="9">
        <f>'3_TF'!K163*'4_IDF'!$E163</f>
        <v/>
      </c>
      <c r="L163" s="9">
        <f>'3_TF'!L163*'4_IDF'!$E163</f>
        <v/>
      </c>
      <c r="M163" s="9">
        <f>'3_TF'!M163*'4_IDF'!$E163</f>
        <v/>
      </c>
      <c r="O163" s="6">
        <f>A163</f>
        <v/>
      </c>
      <c r="P163" s="9">
        <f>IF(B$227=0,0,B163/B$227)</f>
        <v/>
      </c>
      <c r="Q163" s="9">
        <f>IF(C$227=0,0,C163/C$227)</f>
        <v/>
      </c>
      <c r="R163" s="9">
        <f>IF(D$227=0,0,D163/D$227)</f>
        <v/>
      </c>
      <c r="S163" s="9">
        <f>IF(E$227=0,0,E163/E$227)</f>
        <v/>
      </c>
      <c r="T163" s="9">
        <f>IF(F$227=0,0,F163/F$227)</f>
        <v/>
      </c>
      <c r="U163" s="9">
        <f>IF(G$227=0,0,G163/G$227)</f>
        <v/>
      </c>
      <c r="V163" s="9">
        <f>IF(H$227=0,0,H163/H$227)</f>
        <v/>
      </c>
      <c r="W163" s="9">
        <f>IF(I$227=0,0,I163/I$227)</f>
        <v/>
      </c>
      <c r="X163" s="9">
        <f>IF(J$227=0,0,J163/J$227)</f>
        <v/>
      </c>
      <c r="Y163" s="9">
        <f>IF(K$227=0,0,K163/K$227)</f>
        <v/>
      </c>
      <c r="Z163" s="9">
        <f>IF(L$227=0,0,L163/L$227)</f>
        <v/>
      </c>
      <c r="AA163" s="9">
        <f>IF(M$227=0,0,M163/M$227)</f>
        <v/>
      </c>
      <c r="AB163" s="9">
        <f>AVERAGE(P163,Q163,S163)</f>
        <v/>
      </c>
    </row>
    <row r="164">
      <c r="A164" s="6">
        <f>'3_TF'!A164</f>
        <v/>
      </c>
      <c r="B164" s="9">
        <f>'3_TF'!B164*'4_IDF'!$E164</f>
        <v/>
      </c>
      <c r="C164" s="9">
        <f>'3_TF'!C164*'4_IDF'!$E164</f>
        <v/>
      </c>
      <c r="D164" s="9">
        <f>'3_TF'!D164*'4_IDF'!$E164</f>
        <v/>
      </c>
      <c r="E164" s="9">
        <f>'3_TF'!E164*'4_IDF'!$E164</f>
        <v/>
      </c>
      <c r="F164" s="9">
        <f>'3_TF'!F164*'4_IDF'!$E164</f>
        <v/>
      </c>
      <c r="G164" s="9">
        <f>'3_TF'!G164*'4_IDF'!$E164</f>
        <v/>
      </c>
      <c r="H164" s="9">
        <f>'3_TF'!H164*'4_IDF'!$E164</f>
        <v/>
      </c>
      <c r="I164" s="9">
        <f>'3_TF'!I164*'4_IDF'!$E164</f>
        <v/>
      </c>
      <c r="J164" s="9">
        <f>'3_TF'!J164*'4_IDF'!$E164</f>
        <v/>
      </c>
      <c r="K164" s="9">
        <f>'3_TF'!K164*'4_IDF'!$E164</f>
        <v/>
      </c>
      <c r="L164" s="9">
        <f>'3_TF'!L164*'4_IDF'!$E164</f>
        <v/>
      </c>
      <c r="M164" s="9">
        <f>'3_TF'!M164*'4_IDF'!$E164</f>
        <v/>
      </c>
      <c r="O164" s="6">
        <f>A164</f>
        <v/>
      </c>
      <c r="P164" s="9">
        <f>IF(B$227=0,0,B164/B$227)</f>
        <v/>
      </c>
      <c r="Q164" s="9">
        <f>IF(C$227=0,0,C164/C$227)</f>
        <v/>
      </c>
      <c r="R164" s="9">
        <f>IF(D$227=0,0,D164/D$227)</f>
        <v/>
      </c>
      <c r="S164" s="9">
        <f>IF(E$227=0,0,E164/E$227)</f>
        <v/>
      </c>
      <c r="T164" s="9">
        <f>IF(F$227=0,0,F164/F$227)</f>
        <v/>
      </c>
      <c r="U164" s="9">
        <f>IF(G$227=0,0,G164/G$227)</f>
        <v/>
      </c>
      <c r="V164" s="9">
        <f>IF(H$227=0,0,H164/H$227)</f>
        <v/>
      </c>
      <c r="W164" s="9">
        <f>IF(I$227=0,0,I164/I$227)</f>
        <v/>
      </c>
      <c r="X164" s="9">
        <f>IF(J$227=0,0,J164/J$227)</f>
        <v/>
      </c>
      <c r="Y164" s="9">
        <f>IF(K$227=0,0,K164/K$227)</f>
        <v/>
      </c>
      <c r="Z164" s="9">
        <f>IF(L$227=0,0,L164/L$227)</f>
        <v/>
      </c>
      <c r="AA164" s="9">
        <f>IF(M$227=0,0,M164/M$227)</f>
        <v/>
      </c>
      <c r="AB164" s="9">
        <f>AVERAGE(P164,Q164,S164)</f>
        <v/>
      </c>
    </row>
    <row r="165">
      <c r="A165" s="6">
        <f>'3_TF'!A165</f>
        <v/>
      </c>
      <c r="B165" s="9">
        <f>'3_TF'!B165*'4_IDF'!$E165</f>
        <v/>
      </c>
      <c r="C165" s="9">
        <f>'3_TF'!C165*'4_IDF'!$E165</f>
        <v/>
      </c>
      <c r="D165" s="9">
        <f>'3_TF'!D165*'4_IDF'!$E165</f>
        <v/>
      </c>
      <c r="E165" s="9">
        <f>'3_TF'!E165*'4_IDF'!$E165</f>
        <v/>
      </c>
      <c r="F165" s="9">
        <f>'3_TF'!F165*'4_IDF'!$E165</f>
        <v/>
      </c>
      <c r="G165" s="9">
        <f>'3_TF'!G165*'4_IDF'!$E165</f>
        <v/>
      </c>
      <c r="H165" s="9">
        <f>'3_TF'!H165*'4_IDF'!$E165</f>
        <v/>
      </c>
      <c r="I165" s="9">
        <f>'3_TF'!I165*'4_IDF'!$E165</f>
        <v/>
      </c>
      <c r="J165" s="9">
        <f>'3_TF'!J165*'4_IDF'!$E165</f>
        <v/>
      </c>
      <c r="K165" s="9">
        <f>'3_TF'!K165*'4_IDF'!$E165</f>
        <v/>
      </c>
      <c r="L165" s="9">
        <f>'3_TF'!L165*'4_IDF'!$E165</f>
        <v/>
      </c>
      <c r="M165" s="9">
        <f>'3_TF'!M165*'4_IDF'!$E165</f>
        <v/>
      </c>
      <c r="O165" s="6">
        <f>A165</f>
        <v/>
      </c>
      <c r="P165" s="9">
        <f>IF(B$227=0,0,B165/B$227)</f>
        <v/>
      </c>
      <c r="Q165" s="9">
        <f>IF(C$227=0,0,C165/C$227)</f>
        <v/>
      </c>
      <c r="R165" s="9">
        <f>IF(D$227=0,0,D165/D$227)</f>
        <v/>
      </c>
      <c r="S165" s="9">
        <f>IF(E$227=0,0,E165/E$227)</f>
        <v/>
      </c>
      <c r="T165" s="9">
        <f>IF(F$227=0,0,F165/F$227)</f>
        <v/>
      </c>
      <c r="U165" s="9">
        <f>IF(G$227=0,0,G165/G$227)</f>
        <v/>
      </c>
      <c r="V165" s="9">
        <f>IF(H$227=0,0,H165/H$227)</f>
        <v/>
      </c>
      <c r="W165" s="9">
        <f>IF(I$227=0,0,I165/I$227)</f>
        <v/>
      </c>
      <c r="X165" s="9">
        <f>IF(J$227=0,0,J165/J$227)</f>
        <v/>
      </c>
      <c r="Y165" s="9">
        <f>IF(K$227=0,0,K165/K$227)</f>
        <v/>
      </c>
      <c r="Z165" s="9">
        <f>IF(L$227=0,0,L165/L$227)</f>
        <v/>
      </c>
      <c r="AA165" s="9">
        <f>IF(M$227=0,0,M165/M$227)</f>
        <v/>
      </c>
      <c r="AB165" s="9">
        <f>AVERAGE(P165,Q165,S165)</f>
        <v/>
      </c>
    </row>
    <row r="166">
      <c r="A166" s="6">
        <f>'3_TF'!A166</f>
        <v/>
      </c>
      <c r="B166" s="9">
        <f>'3_TF'!B166*'4_IDF'!$E166</f>
        <v/>
      </c>
      <c r="C166" s="9">
        <f>'3_TF'!C166*'4_IDF'!$E166</f>
        <v/>
      </c>
      <c r="D166" s="9">
        <f>'3_TF'!D166*'4_IDF'!$E166</f>
        <v/>
      </c>
      <c r="E166" s="9">
        <f>'3_TF'!E166*'4_IDF'!$E166</f>
        <v/>
      </c>
      <c r="F166" s="9">
        <f>'3_TF'!F166*'4_IDF'!$E166</f>
        <v/>
      </c>
      <c r="G166" s="9">
        <f>'3_TF'!G166*'4_IDF'!$E166</f>
        <v/>
      </c>
      <c r="H166" s="9">
        <f>'3_TF'!H166*'4_IDF'!$E166</f>
        <v/>
      </c>
      <c r="I166" s="9">
        <f>'3_TF'!I166*'4_IDF'!$E166</f>
        <v/>
      </c>
      <c r="J166" s="9">
        <f>'3_TF'!J166*'4_IDF'!$E166</f>
        <v/>
      </c>
      <c r="K166" s="9">
        <f>'3_TF'!K166*'4_IDF'!$E166</f>
        <v/>
      </c>
      <c r="L166" s="9">
        <f>'3_TF'!L166*'4_IDF'!$E166</f>
        <v/>
      </c>
      <c r="M166" s="9">
        <f>'3_TF'!M166*'4_IDF'!$E166</f>
        <v/>
      </c>
      <c r="O166" s="6">
        <f>A166</f>
        <v/>
      </c>
      <c r="P166" s="9">
        <f>IF(B$227=0,0,B166/B$227)</f>
        <v/>
      </c>
      <c r="Q166" s="9">
        <f>IF(C$227=0,0,C166/C$227)</f>
        <v/>
      </c>
      <c r="R166" s="9">
        <f>IF(D$227=0,0,D166/D$227)</f>
        <v/>
      </c>
      <c r="S166" s="9">
        <f>IF(E$227=0,0,E166/E$227)</f>
        <v/>
      </c>
      <c r="T166" s="9">
        <f>IF(F$227=0,0,F166/F$227)</f>
        <v/>
      </c>
      <c r="U166" s="9">
        <f>IF(G$227=0,0,G166/G$227)</f>
        <v/>
      </c>
      <c r="V166" s="9">
        <f>IF(H$227=0,0,H166/H$227)</f>
        <v/>
      </c>
      <c r="W166" s="9">
        <f>IF(I$227=0,0,I166/I$227)</f>
        <v/>
      </c>
      <c r="X166" s="9">
        <f>IF(J$227=0,0,J166/J$227)</f>
        <v/>
      </c>
      <c r="Y166" s="9">
        <f>IF(K$227=0,0,K166/K$227)</f>
        <v/>
      </c>
      <c r="Z166" s="9">
        <f>IF(L$227=0,0,L166/L$227)</f>
        <v/>
      </c>
      <c r="AA166" s="9">
        <f>IF(M$227=0,0,M166/M$227)</f>
        <v/>
      </c>
      <c r="AB166" s="9">
        <f>AVERAGE(P166,Q166,S166)</f>
        <v/>
      </c>
    </row>
    <row r="167">
      <c r="A167" s="6">
        <f>'3_TF'!A167</f>
        <v/>
      </c>
      <c r="B167" s="9">
        <f>'3_TF'!B167*'4_IDF'!$E167</f>
        <v/>
      </c>
      <c r="C167" s="9">
        <f>'3_TF'!C167*'4_IDF'!$E167</f>
        <v/>
      </c>
      <c r="D167" s="9">
        <f>'3_TF'!D167*'4_IDF'!$E167</f>
        <v/>
      </c>
      <c r="E167" s="9">
        <f>'3_TF'!E167*'4_IDF'!$E167</f>
        <v/>
      </c>
      <c r="F167" s="9">
        <f>'3_TF'!F167*'4_IDF'!$E167</f>
        <v/>
      </c>
      <c r="G167" s="9">
        <f>'3_TF'!G167*'4_IDF'!$E167</f>
        <v/>
      </c>
      <c r="H167" s="9">
        <f>'3_TF'!H167*'4_IDF'!$E167</f>
        <v/>
      </c>
      <c r="I167" s="9">
        <f>'3_TF'!I167*'4_IDF'!$E167</f>
        <v/>
      </c>
      <c r="J167" s="9">
        <f>'3_TF'!J167*'4_IDF'!$E167</f>
        <v/>
      </c>
      <c r="K167" s="9">
        <f>'3_TF'!K167*'4_IDF'!$E167</f>
        <v/>
      </c>
      <c r="L167" s="9">
        <f>'3_TF'!L167*'4_IDF'!$E167</f>
        <v/>
      </c>
      <c r="M167" s="9">
        <f>'3_TF'!M167*'4_IDF'!$E167</f>
        <v/>
      </c>
      <c r="O167" s="6">
        <f>A167</f>
        <v/>
      </c>
      <c r="P167" s="9">
        <f>IF(B$227=0,0,B167/B$227)</f>
        <v/>
      </c>
      <c r="Q167" s="9">
        <f>IF(C$227=0,0,C167/C$227)</f>
        <v/>
      </c>
      <c r="R167" s="9">
        <f>IF(D$227=0,0,D167/D$227)</f>
        <v/>
      </c>
      <c r="S167" s="9">
        <f>IF(E$227=0,0,E167/E$227)</f>
        <v/>
      </c>
      <c r="T167" s="9">
        <f>IF(F$227=0,0,F167/F$227)</f>
        <v/>
      </c>
      <c r="U167" s="9">
        <f>IF(G$227=0,0,G167/G$227)</f>
        <v/>
      </c>
      <c r="V167" s="9">
        <f>IF(H$227=0,0,H167/H$227)</f>
        <v/>
      </c>
      <c r="W167" s="9">
        <f>IF(I$227=0,0,I167/I$227)</f>
        <v/>
      </c>
      <c r="X167" s="9">
        <f>IF(J$227=0,0,J167/J$227)</f>
        <v/>
      </c>
      <c r="Y167" s="9">
        <f>IF(K$227=0,0,K167/K$227)</f>
        <v/>
      </c>
      <c r="Z167" s="9">
        <f>IF(L$227=0,0,L167/L$227)</f>
        <v/>
      </c>
      <c r="AA167" s="9">
        <f>IF(M$227=0,0,M167/M$227)</f>
        <v/>
      </c>
      <c r="AB167" s="9">
        <f>AVERAGE(P167,Q167,S167)</f>
        <v/>
      </c>
    </row>
    <row r="168">
      <c r="A168" s="6">
        <f>'3_TF'!A168</f>
        <v/>
      </c>
      <c r="B168" s="9">
        <f>'3_TF'!B168*'4_IDF'!$E168</f>
        <v/>
      </c>
      <c r="C168" s="9">
        <f>'3_TF'!C168*'4_IDF'!$E168</f>
        <v/>
      </c>
      <c r="D168" s="9">
        <f>'3_TF'!D168*'4_IDF'!$E168</f>
        <v/>
      </c>
      <c r="E168" s="9">
        <f>'3_TF'!E168*'4_IDF'!$E168</f>
        <v/>
      </c>
      <c r="F168" s="9">
        <f>'3_TF'!F168*'4_IDF'!$E168</f>
        <v/>
      </c>
      <c r="G168" s="9">
        <f>'3_TF'!G168*'4_IDF'!$E168</f>
        <v/>
      </c>
      <c r="H168" s="9">
        <f>'3_TF'!H168*'4_IDF'!$E168</f>
        <v/>
      </c>
      <c r="I168" s="9">
        <f>'3_TF'!I168*'4_IDF'!$E168</f>
        <v/>
      </c>
      <c r="J168" s="9">
        <f>'3_TF'!J168*'4_IDF'!$E168</f>
        <v/>
      </c>
      <c r="K168" s="9">
        <f>'3_TF'!K168*'4_IDF'!$E168</f>
        <v/>
      </c>
      <c r="L168" s="9">
        <f>'3_TF'!L168*'4_IDF'!$E168</f>
        <v/>
      </c>
      <c r="M168" s="9">
        <f>'3_TF'!M168*'4_IDF'!$E168</f>
        <v/>
      </c>
      <c r="O168" s="6">
        <f>A168</f>
        <v/>
      </c>
      <c r="P168" s="9">
        <f>IF(B$227=0,0,B168/B$227)</f>
        <v/>
      </c>
      <c r="Q168" s="9">
        <f>IF(C$227=0,0,C168/C$227)</f>
        <v/>
      </c>
      <c r="R168" s="9">
        <f>IF(D$227=0,0,D168/D$227)</f>
        <v/>
      </c>
      <c r="S168" s="9">
        <f>IF(E$227=0,0,E168/E$227)</f>
        <v/>
      </c>
      <c r="T168" s="9">
        <f>IF(F$227=0,0,F168/F$227)</f>
        <v/>
      </c>
      <c r="U168" s="9">
        <f>IF(G$227=0,0,G168/G$227)</f>
        <v/>
      </c>
      <c r="V168" s="9">
        <f>IF(H$227=0,0,H168/H$227)</f>
        <v/>
      </c>
      <c r="W168" s="9">
        <f>IF(I$227=0,0,I168/I$227)</f>
        <v/>
      </c>
      <c r="X168" s="9">
        <f>IF(J$227=0,0,J168/J$227)</f>
        <v/>
      </c>
      <c r="Y168" s="9">
        <f>IF(K$227=0,0,K168/K$227)</f>
        <v/>
      </c>
      <c r="Z168" s="9">
        <f>IF(L$227=0,0,L168/L$227)</f>
        <v/>
      </c>
      <c r="AA168" s="9">
        <f>IF(M$227=0,0,M168/M$227)</f>
        <v/>
      </c>
      <c r="AB168" s="9">
        <f>AVERAGE(P168,Q168,S168)</f>
        <v/>
      </c>
    </row>
    <row r="169">
      <c r="A169" s="6">
        <f>'3_TF'!A169</f>
        <v/>
      </c>
      <c r="B169" s="9">
        <f>'3_TF'!B169*'4_IDF'!$E169</f>
        <v/>
      </c>
      <c r="C169" s="9">
        <f>'3_TF'!C169*'4_IDF'!$E169</f>
        <v/>
      </c>
      <c r="D169" s="9">
        <f>'3_TF'!D169*'4_IDF'!$E169</f>
        <v/>
      </c>
      <c r="E169" s="9">
        <f>'3_TF'!E169*'4_IDF'!$E169</f>
        <v/>
      </c>
      <c r="F169" s="9">
        <f>'3_TF'!F169*'4_IDF'!$E169</f>
        <v/>
      </c>
      <c r="G169" s="9">
        <f>'3_TF'!G169*'4_IDF'!$E169</f>
        <v/>
      </c>
      <c r="H169" s="9">
        <f>'3_TF'!H169*'4_IDF'!$E169</f>
        <v/>
      </c>
      <c r="I169" s="9">
        <f>'3_TF'!I169*'4_IDF'!$E169</f>
        <v/>
      </c>
      <c r="J169" s="9">
        <f>'3_TF'!J169*'4_IDF'!$E169</f>
        <v/>
      </c>
      <c r="K169" s="9">
        <f>'3_TF'!K169*'4_IDF'!$E169</f>
        <v/>
      </c>
      <c r="L169" s="9">
        <f>'3_TF'!L169*'4_IDF'!$E169</f>
        <v/>
      </c>
      <c r="M169" s="9">
        <f>'3_TF'!M169*'4_IDF'!$E169</f>
        <v/>
      </c>
      <c r="O169" s="6">
        <f>A169</f>
        <v/>
      </c>
      <c r="P169" s="9">
        <f>IF(B$227=0,0,B169/B$227)</f>
        <v/>
      </c>
      <c r="Q169" s="9">
        <f>IF(C$227=0,0,C169/C$227)</f>
        <v/>
      </c>
      <c r="R169" s="9">
        <f>IF(D$227=0,0,D169/D$227)</f>
        <v/>
      </c>
      <c r="S169" s="9">
        <f>IF(E$227=0,0,E169/E$227)</f>
        <v/>
      </c>
      <c r="T169" s="9">
        <f>IF(F$227=0,0,F169/F$227)</f>
        <v/>
      </c>
      <c r="U169" s="9">
        <f>IF(G$227=0,0,G169/G$227)</f>
        <v/>
      </c>
      <c r="V169" s="9">
        <f>IF(H$227=0,0,H169/H$227)</f>
        <v/>
      </c>
      <c r="W169" s="9">
        <f>IF(I$227=0,0,I169/I$227)</f>
        <v/>
      </c>
      <c r="X169" s="9">
        <f>IF(J$227=0,0,J169/J$227)</f>
        <v/>
      </c>
      <c r="Y169" s="9">
        <f>IF(K$227=0,0,K169/K$227)</f>
        <v/>
      </c>
      <c r="Z169" s="9">
        <f>IF(L$227=0,0,L169/L$227)</f>
        <v/>
      </c>
      <c r="AA169" s="9">
        <f>IF(M$227=0,0,M169/M$227)</f>
        <v/>
      </c>
      <c r="AB169" s="9">
        <f>AVERAGE(P169,Q169,S169)</f>
        <v/>
      </c>
    </row>
    <row r="170">
      <c r="A170" s="6">
        <f>'3_TF'!A170</f>
        <v/>
      </c>
      <c r="B170" s="9">
        <f>'3_TF'!B170*'4_IDF'!$E170</f>
        <v/>
      </c>
      <c r="C170" s="9">
        <f>'3_TF'!C170*'4_IDF'!$E170</f>
        <v/>
      </c>
      <c r="D170" s="9">
        <f>'3_TF'!D170*'4_IDF'!$E170</f>
        <v/>
      </c>
      <c r="E170" s="9">
        <f>'3_TF'!E170*'4_IDF'!$E170</f>
        <v/>
      </c>
      <c r="F170" s="9">
        <f>'3_TF'!F170*'4_IDF'!$E170</f>
        <v/>
      </c>
      <c r="G170" s="9">
        <f>'3_TF'!G170*'4_IDF'!$E170</f>
        <v/>
      </c>
      <c r="H170" s="9">
        <f>'3_TF'!H170*'4_IDF'!$E170</f>
        <v/>
      </c>
      <c r="I170" s="9">
        <f>'3_TF'!I170*'4_IDF'!$E170</f>
        <v/>
      </c>
      <c r="J170" s="9">
        <f>'3_TF'!J170*'4_IDF'!$E170</f>
        <v/>
      </c>
      <c r="K170" s="9">
        <f>'3_TF'!K170*'4_IDF'!$E170</f>
        <v/>
      </c>
      <c r="L170" s="9">
        <f>'3_TF'!L170*'4_IDF'!$E170</f>
        <v/>
      </c>
      <c r="M170" s="9">
        <f>'3_TF'!M170*'4_IDF'!$E170</f>
        <v/>
      </c>
      <c r="O170" s="6">
        <f>A170</f>
        <v/>
      </c>
      <c r="P170" s="9">
        <f>IF(B$227=0,0,B170/B$227)</f>
        <v/>
      </c>
      <c r="Q170" s="9">
        <f>IF(C$227=0,0,C170/C$227)</f>
        <v/>
      </c>
      <c r="R170" s="9">
        <f>IF(D$227=0,0,D170/D$227)</f>
        <v/>
      </c>
      <c r="S170" s="9">
        <f>IF(E$227=0,0,E170/E$227)</f>
        <v/>
      </c>
      <c r="T170" s="9">
        <f>IF(F$227=0,0,F170/F$227)</f>
        <v/>
      </c>
      <c r="U170" s="9">
        <f>IF(G$227=0,0,G170/G$227)</f>
        <v/>
      </c>
      <c r="V170" s="9">
        <f>IF(H$227=0,0,H170/H$227)</f>
        <v/>
      </c>
      <c r="W170" s="9">
        <f>IF(I$227=0,0,I170/I$227)</f>
        <v/>
      </c>
      <c r="X170" s="9">
        <f>IF(J$227=0,0,J170/J$227)</f>
        <v/>
      </c>
      <c r="Y170" s="9">
        <f>IF(K$227=0,0,K170/K$227)</f>
        <v/>
      </c>
      <c r="Z170" s="9">
        <f>IF(L$227=0,0,L170/L$227)</f>
        <v/>
      </c>
      <c r="AA170" s="9">
        <f>IF(M$227=0,0,M170/M$227)</f>
        <v/>
      </c>
      <c r="AB170" s="9">
        <f>AVERAGE(P170,Q170,S170)</f>
        <v/>
      </c>
    </row>
    <row r="171">
      <c r="A171" s="6">
        <f>'3_TF'!A171</f>
        <v/>
      </c>
      <c r="B171" s="9">
        <f>'3_TF'!B171*'4_IDF'!$E171</f>
        <v/>
      </c>
      <c r="C171" s="9">
        <f>'3_TF'!C171*'4_IDF'!$E171</f>
        <v/>
      </c>
      <c r="D171" s="9">
        <f>'3_TF'!D171*'4_IDF'!$E171</f>
        <v/>
      </c>
      <c r="E171" s="9">
        <f>'3_TF'!E171*'4_IDF'!$E171</f>
        <v/>
      </c>
      <c r="F171" s="9">
        <f>'3_TF'!F171*'4_IDF'!$E171</f>
        <v/>
      </c>
      <c r="G171" s="9">
        <f>'3_TF'!G171*'4_IDF'!$E171</f>
        <v/>
      </c>
      <c r="H171" s="9">
        <f>'3_TF'!H171*'4_IDF'!$E171</f>
        <v/>
      </c>
      <c r="I171" s="9">
        <f>'3_TF'!I171*'4_IDF'!$E171</f>
        <v/>
      </c>
      <c r="J171" s="9">
        <f>'3_TF'!J171*'4_IDF'!$E171</f>
        <v/>
      </c>
      <c r="K171" s="9">
        <f>'3_TF'!K171*'4_IDF'!$E171</f>
        <v/>
      </c>
      <c r="L171" s="9">
        <f>'3_TF'!L171*'4_IDF'!$E171</f>
        <v/>
      </c>
      <c r="M171" s="9">
        <f>'3_TF'!M171*'4_IDF'!$E171</f>
        <v/>
      </c>
      <c r="O171" s="6">
        <f>A171</f>
        <v/>
      </c>
      <c r="P171" s="9">
        <f>IF(B$227=0,0,B171/B$227)</f>
        <v/>
      </c>
      <c r="Q171" s="9">
        <f>IF(C$227=0,0,C171/C$227)</f>
        <v/>
      </c>
      <c r="R171" s="9">
        <f>IF(D$227=0,0,D171/D$227)</f>
        <v/>
      </c>
      <c r="S171" s="9">
        <f>IF(E$227=0,0,E171/E$227)</f>
        <v/>
      </c>
      <c r="T171" s="9">
        <f>IF(F$227=0,0,F171/F$227)</f>
        <v/>
      </c>
      <c r="U171" s="9">
        <f>IF(G$227=0,0,G171/G$227)</f>
        <v/>
      </c>
      <c r="V171" s="9">
        <f>IF(H$227=0,0,H171/H$227)</f>
        <v/>
      </c>
      <c r="W171" s="9">
        <f>IF(I$227=0,0,I171/I$227)</f>
        <v/>
      </c>
      <c r="X171" s="9">
        <f>IF(J$227=0,0,J171/J$227)</f>
        <v/>
      </c>
      <c r="Y171" s="9">
        <f>IF(K$227=0,0,K171/K$227)</f>
        <v/>
      </c>
      <c r="Z171" s="9">
        <f>IF(L$227=0,0,L171/L$227)</f>
        <v/>
      </c>
      <c r="AA171" s="9">
        <f>IF(M$227=0,0,M171/M$227)</f>
        <v/>
      </c>
      <c r="AB171" s="9">
        <f>AVERAGE(P171,Q171,S171)</f>
        <v/>
      </c>
    </row>
    <row r="172">
      <c r="A172" s="6">
        <f>'3_TF'!A172</f>
        <v/>
      </c>
      <c r="B172" s="9">
        <f>'3_TF'!B172*'4_IDF'!$E172</f>
        <v/>
      </c>
      <c r="C172" s="9">
        <f>'3_TF'!C172*'4_IDF'!$E172</f>
        <v/>
      </c>
      <c r="D172" s="9">
        <f>'3_TF'!D172*'4_IDF'!$E172</f>
        <v/>
      </c>
      <c r="E172" s="9">
        <f>'3_TF'!E172*'4_IDF'!$E172</f>
        <v/>
      </c>
      <c r="F172" s="9">
        <f>'3_TF'!F172*'4_IDF'!$E172</f>
        <v/>
      </c>
      <c r="G172" s="9">
        <f>'3_TF'!G172*'4_IDF'!$E172</f>
        <v/>
      </c>
      <c r="H172" s="9">
        <f>'3_TF'!H172*'4_IDF'!$E172</f>
        <v/>
      </c>
      <c r="I172" s="9">
        <f>'3_TF'!I172*'4_IDF'!$E172</f>
        <v/>
      </c>
      <c r="J172" s="9">
        <f>'3_TF'!J172*'4_IDF'!$E172</f>
        <v/>
      </c>
      <c r="K172" s="9">
        <f>'3_TF'!K172*'4_IDF'!$E172</f>
        <v/>
      </c>
      <c r="L172" s="9">
        <f>'3_TF'!L172*'4_IDF'!$E172</f>
        <v/>
      </c>
      <c r="M172" s="9">
        <f>'3_TF'!M172*'4_IDF'!$E172</f>
        <v/>
      </c>
      <c r="O172" s="6">
        <f>A172</f>
        <v/>
      </c>
      <c r="P172" s="9">
        <f>IF(B$227=0,0,B172/B$227)</f>
        <v/>
      </c>
      <c r="Q172" s="9">
        <f>IF(C$227=0,0,C172/C$227)</f>
        <v/>
      </c>
      <c r="R172" s="9">
        <f>IF(D$227=0,0,D172/D$227)</f>
        <v/>
      </c>
      <c r="S172" s="9">
        <f>IF(E$227=0,0,E172/E$227)</f>
        <v/>
      </c>
      <c r="T172" s="9">
        <f>IF(F$227=0,0,F172/F$227)</f>
        <v/>
      </c>
      <c r="U172" s="9">
        <f>IF(G$227=0,0,G172/G$227)</f>
        <v/>
      </c>
      <c r="V172" s="9">
        <f>IF(H$227=0,0,H172/H$227)</f>
        <v/>
      </c>
      <c r="W172" s="9">
        <f>IF(I$227=0,0,I172/I$227)</f>
        <v/>
      </c>
      <c r="X172" s="9">
        <f>IF(J$227=0,0,J172/J$227)</f>
        <v/>
      </c>
      <c r="Y172" s="9">
        <f>IF(K$227=0,0,K172/K$227)</f>
        <v/>
      </c>
      <c r="Z172" s="9">
        <f>IF(L$227=0,0,L172/L$227)</f>
        <v/>
      </c>
      <c r="AA172" s="9">
        <f>IF(M$227=0,0,M172/M$227)</f>
        <v/>
      </c>
      <c r="AB172" s="9">
        <f>AVERAGE(P172,Q172,S172)</f>
        <v/>
      </c>
    </row>
    <row r="173">
      <c r="A173" s="6">
        <f>'3_TF'!A173</f>
        <v/>
      </c>
      <c r="B173" s="9">
        <f>'3_TF'!B173*'4_IDF'!$E173</f>
        <v/>
      </c>
      <c r="C173" s="9">
        <f>'3_TF'!C173*'4_IDF'!$E173</f>
        <v/>
      </c>
      <c r="D173" s="9">
        <f>'3_TF'!D173*'4_IDF'!$E173</f>
        <v/>
      </c>
      <c r="E173" s="9">
        <f>'3_TF'!E173*'4_IDF'!$E173</f>
        <v/>
      </c>
      <c r="F173" s="9">
        <f>'3_TF'!F173*'4_IDF'!$E173</f>
        <v/>
      </c>
      <c r="G173" s="9">
        <f>'3_TF'!G173*'4_IDF'!$E173</f>
        <v/>
      </c>
      <c r="H173" s="9">
        <f>'3_TF'!H173*'4_IDF'!$E173</f>
        <v/>
      </c>
      <c r="I173" s="9">
        <f>'3_TF'!I173*'4_IDF'!$E173</f>
        <v/>
      </c>
      <c r="J173" s="9">
        <f>'3_TF'!J173*'4_IDF'!$E173</f>
        <v/>
      </c>
      <c r="K173" s="9">
        <f>'3_TF'!K173*'4_IDF'!$E173</f>
        <v/>
      </c>
      <c r="L173" s="9">
        <f>'3_TF'!L173*'4_IDF'!$E173</f>
        <v/>
      </c>
      <c r="M173" s="9">
        <f>'3_TF'!M173*'4_IDF'!$E173</f>
        <v/>
      </c>
      <c r="O173" s="6">
        <f>A173</f>
        <v/>
      </c>
      <c r="P173" s="9">
        <f>IF(B$227=0,0,B173/B$227)</f>
        <v/>
      </c>
      <c r="Q173" s="9">
        <f>IF(C$227=0,0,C173/C$227)</f>
        <v/>
      </c>
      <c r="R173" s="9">
        <f>IF(D$227=0,0,D173/D$227)</f>
        <v/>
      </c>
      <c r="S173" s="9">
        <f>IF(E$227=0,0,E173/E$227)</f>
        <v/>
      </c>
      <c r="T173" s="9">
        <f>IF(F$227=0,0,F173/F$227)</f>
        <v/>
      </c>
      <c r="U173" s="9">
        <f>IF(G$227=0,0,G173/G$227)</f>
        <v/>
      </c>
      <c r="V173" s="9">
        <f>IF(H$227=0,0,H173/H$227)</f>
        <v/>
      </c>
      <c r="W173" s="9">
        <f>IF(I$227=0,0,I173/I$227)</f>
        <v/>
      </c>
      <c r="X173" s="9">
        <f>IF(J$227=0,0,J173/J$227)</f>
        <v/>
      </c>
      <c r="Y173" s="9">
        <f>IF(K$227=0,0,K173/K$227)</f>
        <v/>
      </c>
      <c r="Z173" s="9">
        <f>IF(L$227=0,0,L173/L$227)</f>
        <v/>
      </c>
      <c r="AA173" s="9">
        <f>IF(M$227=0,0,M173/M$227)</f>
        <v/>
      </c>
      <c r="AB173" s="9">
        <f>AVERAGE(P173,Q173,S173)</f>
        <v/>
      </c>
    </row>
    <row r="174">
      <c r="A174" s="6">
        <f>'3_TF'!A174</f>
        <v/>
      </c>
      <c r="B174" s="9">
        <f>'3_TF'!B174*'4_IDF'!$E174</f>
        <v/>
      </c>
      <c r="C174" s="9">
        <f>'3_TF'!C174*'4_IDF'!$E174</f>
        <v/>
      </c>
      <c r="D174" s="9">
        <f>'3_TF'!D174*'4_IDF'!$E174</f>
        <v/>
      </c>
      <c r="E174" s="9">
        <f>'3_TF'!E174*'4_IDF'!$E174</f>
        <v/>
      </c>
      <c r="F174" s="9">
        <f>'3_TF'!F174*'4_IDF'!$E174</f>
        <v/>
      </c>
      <c r="G174" s="9">
        <f>'3_TF'!G174*'4_IDF'!$E174</f>
        <v/>
      </c>
      <c r="H174" s="9">
        <f>'3_TF'!H174*'4_IDF'!$E174</f>
        <v/>
      </c>
      <c r="I174" s="9">
        <f>'3_TF'!I174*'4_IDF'!$E174</f>
        <v/>
      </c>
      <c r="J174" s="9">
        <f>'3_TF'!J174*'4_IDF'!$E174</f>
        <v/>
      </c>
      <c r="K174" s="9">
        <f>'3_TF'!K174*'4_IDF'!$E174</f>
        <v/>
      </c>
      <c r="L174" s="9">
        <f>'3_TF'!L174*'4_IDF'!$E174</f>
        <v/>
      </c>
      <c r="M174" s="9">
        <f>'3_TF'!M174*'4_IDF'!$E174</f>
        <v/>
      </c>
      <c r="O174" s="6">
        <f>A174</f>
        <v/>
      </c>
      <c r="P174" s="9">
        <f>IF(B$227=0,0,B174/B$227)</f>
        <v/>
      </c>
      <c r="Q174" s="9">
        <f>IF(C$227=0,0,C174/C$227)</f>
        <v/>
      </c>
      <c r="R174" s="9">
        <f>IF(D$227=0,0,D174/D$227)</f>
        <v/>
      </c>
      <c r="S174" s="9">
        <f>IF(E$227=0,0,E174/E$227)</f>
        <v/>
      </c>
      <c r="T174" s="9">
        <f>IF(F$227=0,0,F174/F$227)</f>
        <v/>
      </c>
      <c r="U174" s="9">
        <f>IF(G$227=0,0,G174/G$227)</f>
        <v/>
      </c>
      <c r="V174" s="9">
        <f>IF(H$227=0,0,H174/H$227)</f>
        <v/>
      </c>
      <c r="W174" s="9">
        <f>IF(I$227=0,0,I174/I$227)</f>
        <v/>
      </c>
      <c r="X174" s="9">
        <f>IF(J$227=0,0,J174/J$227)</f>
        <v/>
      </c>
      <c r="Y174" s="9">
        <f>IF(K$227=0,0,K174/K$227)</f>
        <v/>
      </c>
      <c r="Z174" s="9">
        <f>IF(L$227=0,0,L174/L$227)</f>
        <v/>
      </c>
      <c r="AA174" s="9">
        <f>IF(M$227=0,0,M174/M$227)</f>
        <v/>
      </c>
      <c r="AB174" s="9">
        <f>AVERAGE(P174,Q174,S174)</f>
        <v/>
      </c>
    </row>
    <row r="175">
      <c r="A175" s="6">
        <f>'3_TF'!A175</f>
        <v/>
      </c>
      <c r="B175" s="9">
        <f>'3_TF'!B175*'4_IDF'!$E175</f>
        <v/>
      </c>
      <c r="C175" s="9">
        <f>'3_TF'!C175*'4_IDF'!$E175</f>
        <v/>
      </c>
      <c r="D175" s="9">
        <f>'3_TF'!D175*'4_IDF'!$E175</f>
        <v/>
      </c>
      <c r="E175" s="9">
        <f>'3_TF'!E175*'4_IDF'!$E175</f>
        <v/>
      </c>
      <c r="F175" s="9">
        <f>'3_TF'!F175*'4_IDF'!$E175</f>
        <v/>
      </c>
      <c r="G175" s="9">
        <f>'3_TF'!G175*'4_IDF'!$E175</f>
        <v/>
      </c>
      <c r="H175" s="9">
        <f>'3_TF'!H175*'4_IDF'!$E175</f>
        <v/>
      </c>
      <c r="I175" s="9">
        <f>'3_TF'!I175*'4_IDF'!$E175</f>
        <v/>
      </c>
      <c r="J175" s="9">
        <f>'3_TF'!J175*'4_IDF'!$E175</f>
        <v/>
      </c>
      <c r="K175" s="9">
        <f>'3_TF'!K175*'4_IDF'!$E175</f>
        <v/>
      </c>
      <c r="L175" s="9">
        <f>'3_TF'!L175*'4_IDF'!$E175</f>
        <v/>
      </c>
      <c r="M175" s="9">
        <f>'3_TF'!M175*'4_IDF'!$E175</f>
        <v/>
      </c>
      <c r="O175" s="6">
        <f>A175</f>
        <v/>
      </c>
      <c r="P175" s="9">
        <f>IF(B$227=0,0,B175/B$227)</f>
        <v/>
      </c>
      <c r="Q175" s="9">
        <f>IF(C$227=0,0,C175/C$227)</f>
        <v/>
      </c>
      <c r="R175" s="9">
        <f>IF(D$227=0,0,D175/D$227)</f>
        <v/>
      </c>
      <c r="S175" s="9">
        <f>IF(E$227=0,0,E175/E$227)</f>
        <v/>
      </c>
      <c r="T175" s="9">
        <f>IF(F$227=0,0,F175/F$227)</f>
        <v/>
      </c>
      <c r="U175" s="9">
        <f>IF(G$227=0,0,G175/G$227)</f>
        <v/>
      </c>
      <c r="V175" s="9">
        <f>IF(H$227=0,0,H175/H$227)</f>
        <v/>
      </c>
      <c r="W175" s="9">
        <f>IF(I$227=0,0,I175/I$227)</f>
        <v/>
      </c>
      <c r="X175" s="9">
        <f>IF(J$227=0,0,J175/J$227)</f>
        <v/>
      </c>
      <c r="Y175" s="9">
        <f>IF(K$227=0,0,K175/K$227)</f>
        <v/>
      </c>
      <c r="Z175" s="9">
        <f>IF(L$227=0,0,L175/L$227)</f>
        <v/>
      </c>
      <c r="AA175" s="9">
        <f>IF(M$227=0,0,M175/M$227)</f>
        <v/>
      </c>
      <c r="AB175" s="9">
        <f>AVERAGE(P175,Q175,S175)</f>
        <v/>
      </c>
    </row>
    <row r="176">
      <c r="A176" s="6">
        <f>'3_TF'!A176</f>
        <v/>
      </c>
      <c r="B176" s="9">
        <f>'3_TF'!B176*'4_IDF'!$E176</f>
        <v/>
      </c>
      <c r="C176" s="9">
        <f>'3_TF'!C176*'4_IDF'!$E176</f>
        <v/>
      </c>
      <c r="D176" s="9">
        <f>'3_TF'!D176*'4_IDF'!$E176</f>
        <v/>
      </c>
      <c r="E176" s="9">
        <f>'3_TF'!E176*'4_IDF'!$E176</f>
        <v/>
      </c>
      <c r="F176" s="9">
        <f>'3_TF'!F176*'4_IDF'!$E176</f>
        <v/>
      </c>
      <c r="G176" s="9">
        <f>'3_TF'!G176*'4_IDF'!$E176</f>
        <v/>
      </c>
      <c r="H176" s="9">
        <f>'3_TF'!H176*'4_IDF'!$E176</f>
        <v/>
      </c>
      <c r="I176" s="9">
        <f>'3_TF'!I176*'4_IDF'!$E176</f>
        <v/>
      </c>
      <c r="J176" s="9">
        <f>'3_TF'!J176*'4_IDF'!$E176</f>
        <v/>
      </c>
      <c r="K176" s="9">
        <f>'3_TF'!K176*'4_IDF'!$E176</f>
        <v/>
      </c>
      <c r="L176" s="9">
        <f>'3_TF'!L176*'4_IDF'!$E176</f>
        <v/>
      </c>
      <c r="M176" s="9">
        <f>'3_TF'!M176*'4_IDF'!$E176</f>
        <v/>
      </c>
      <c r="O176" s="6">
        <f>A176</f>
        <v/>
      </c>
      <c r="P176" s="9">
        <f>IF(B$227=0,0,B176/B$227)</f>
        <v/>
      </c>
      <c r="Q176" s="9">
        <f>IF(C$227=0,0,C176/C$227)</f>
        <v/>
      </c>
      <c r="R176" s="9">
        <f>IF(D$227=0,0,D176/D$227)</f>
        <v/>
      </c>
      <c r="S176" s="9">
        <f>IF(E$227=0,0,E176/E$227)</f>
        <v/>
      </c>
      <c r="T176" s="9">
        <f>IF(F$227=0,0,F176/F$227)</f>
        <v/>
      </c>
      <c r="U176" s="9">
        <f>IF(G$227=0,0,G176/G$227)</f>
        <v/>
      </c>
      <c r="V176" s="9">
        <f>IF(H$227=0,0,H176/H$227)</f>
        <v/>
      </c>
      <c r="W176" s="9">
        <f>IF(I$227=0,0,I176/I$227)</f>
        <v/>
      </c>
      <c r="X176" s="9">
        <f>IF(J$227=0,0,J176/J$227)</f>
        <v/>
      </c>
      <c r="Y176" s="9">
        <f>IF(K$227=0,0,K176/K$227)</f>
        <v/>
      </c>
      <c r="Z176" s="9">
        <f>IF(L$227=0,0,L176/L$227)</f>
        <v/>
      </c>
      <c r="AA176" s="9">
        <f>IF(M$227=0,0,M176/M$227)</f>
        <v/>
      </c>
      <c r="AB176" s="9">
        <f>AVERAGE(P176,Q176,S176)</f>
        <v/>
      </c>
    </row>
    <row r="177">
      <c r="A177" s="6">
        <f>'3_TF'!A177</f>
        <v/>
      </c>
      <c r="B177" s="9">
        <f>'3_TF'!B177*'4_IDF'!$E177</f>
        <v/>
      </c>
      <c r="C177" s="9">
        <f>'3_TF'!C177*'4_IDF'!$E177</f>
        <v/>
      </c>
      <c r="D177" s="9">
        <f>'3_TF'!D177*'4_IDF'!$E177</f>
        <v/>
      </c>
      <c r="E177" s="9">
        <f>'3_TF'!E177*'4_IDF'!$E177</f>
        <v/>
      </c>
      <c r="F177" s="9">
        <f>'3_TF'!F177*'4_IDF'!$E177</f>
        <v/>
      </c>
      <c r="G177" s="9">
        <f>'3_TF'!G177*'4_IDF'!$E177</f>
        <v/>
      </c>
      <c r="H177" s="9">
        <f>'3_TF'!H177*'4_IDF'!$E177</f>
        <v/>
      </c>
      <c r="I177" s="9">
        <f>'3_TF'!I177*'4_IDF'!$E177</f>
        <v/>
      </c>
      <c r="J177" s="9">
        <f>'3_TF'!J177*'4_IDF'!$E177</f>
        <v/>
      </c>
      <c r="K177" s="9">
        <f>'3_TF'!K177*'4_IDF'!$E177</f>
        <v/>
      </c>
      <c r="L177" s="9">
        <f>'3_TF'!L177*'4_IDF'!$E177</f>
        <v/>
      </c>
      <c r="M177" s="9">
        <f>'3_TF'!M177*'4_IDF'!$E177</f>
        <v/>
      </c>
      <c r="O177" s="6">
        <f>A177</f>
        <v/>
      </c>
      <c r="P177" s="9">
        <f>IF(B$227=0,0,B177/B$227)</f>
        <v/>
      </c>
      <c r="Q177" s="9">
        <f>IF(C$227=0,0,C177/C$227)</f>
        <v/>
      </c>
      <c r="R177" s="9">
        <f>IF(D$227=0,0,D177/D$227)</f>
        <v/>
      </c>
      <c r="S177" s="9">
        <f>IF(E$227=0,0,E177/E$227)</f>
        <v/>
      </c>
      <c r="T177" s="9">
        <f>IF(F$227=0,0,F177/F$227)</f>
        <v/>
      </c>
      <c r="U177" s="9">
        <f>IF(G$227=0,0,G177/G$227)</f>
        <v/>
      </c>
      <c r="V177" s="9">
        <f>IF(H$227=0,0,H177/H$227)</f>
        <v/>
      </c>
      <c r="W177" s="9">
        <f>IF(I$227=0,0,I177/I$227)</f>
        <v/>
      </c>
      <c r="X177" s="9">
        <f>IF(J$227=0,0,J177/J$227)</f>
        <v/>
      </c>
      <c r="Y177" s="9">
        <f>IF(K$227=0,0,K177/K$227)</f>
        <v/>
      </c>
      <c r="Z177" s="9">
        <f>IF(L$227=0,0,L177/L$227)</f>
        <v/>
      </c>
      <c r="AA177" s="9">
        <f>IF(M$227=0,0,M177/M$227)</f>
        <v/>
      </c>
      <c r="AB177" s="9">
        <f>AVERAGE(P177,Q177,S177)</f>
        <v/>
      </c>
    </row>
    <row r="178">
      <c r="A178" s="6">
        <f>'3_TF'!A178</f>
        <v/>
      </c>
      <c r="B178" s="9">
        <f>'3_TF'!B178*'4_IDF'!$E178</f>
        <v/>
      </c>
      <c r="C178" s="9">
        <f>'3_TF'!C178*'4_IDF'!$E178</f>
        <v/>
      </c>
      <c r="D178" s="9">
        <f>'3_TF'!D178*'4_IDF'!$E178</f>
        <v/>
      </c>
      <c r="E178" s="9">
        <f>'3_TF'!E178*'4_IDF'!$E178</f>
        <v/>
      </c>
      <c r="F178" s="9">
        <f>'3_TF'!F178*'4_IDF'!$E178</f>
        <v/>
      </c>
      <c r="G178" s="9">
        <f>'3_TF'!G178*'4_IDF'!$E178</f>
        <v/>
      </c>
      <c r="H178" s="9">
        <f>'3_TF'!H178*'4_IDF'!$E178</f>
        <v/>
      </c>
      <c r="I178" s="9">
        <f>'3_TF'!I178*'4_IDF'!$E178</f>
        <v/>
      </c>
      <c r="J178" s="9">
        <f>'3_TF'!J178*'4_IDF'!$E178</f>
        <v/>
      </c>
      <c r="K178" s="9">
        <f>'3_TF'!K178*'4_IDF'!$E178</f>
        <v/>
      </c>
      <c r="L178" s="9">
        <f>'3_TF'!L178*'4_IDF'!$E178</f>
        <v/>
      </c>
      <c r="M178" s="9">
        <f>'3_TF'!M178*'4_IDF'!$E178</f>
        <v/>
      </c>
      <c r="O178" s="6">
        <f>A178</f>
        <v/>
      </c>
      <c r="P178" s="9">
        <f>IF(B$227=0,0,B178/B$227)</f>
        <v/>
      </c>
      <c r="Q178" s="9">
        <f>IF(C$227=0,0,C178/C$227)</f>
        <v/>
      </c>
      <c r="R178" s="9">
        <f>IF(D$227=0,0,D178/D$227)</f>
        <v/>
      </c>
      <c r="S178" s="9">
        <f>IF(E$227=0,0,E178/E$227)</f>
        <v/>
      </c>
      <c r="T178" s="9">
        <f>IF(F$227=0,0,F178/F$227)</f>
        <v/>
      </c>
      <c r="U178" s="9">
        <f>IF(G$227=0,0,G178/G$227)</f>
        <v/>
      </c>
      <c r="V178" s="9">
        <f>IF(H$227=0,0,H178/H$227)</f>
        <v/>
      </c>
      <c r="W178" s="9">
        <f>IF(I$227=0,0,I178/I$227)</f>
        <v/>
      </c>
      <c r="X178" s="9">
        <f>IF(J$227=0,0,J178/J$227)</f>
        <v/>
      </c>
      <c r="Y178" s="9">
        <f>IF(K$227=0,0,K178/K$227)</f>
        <v/>
      </c>
      <c r="Z178" s="9">
        <f>IF(L$227=0,0,L178/L$227)</f>
        <v/>
      </c>
      <c r="AA178" s="9">
        <f>IF(M$227=0,0,M178/M$227)</f>
        <v/>
      </c>
      <c r="AB178" s="9">
        <f>AVERAGE(P178,Q178,S178)</f>
        <v/>
      </c>
    </row>
    <row r="179">
      <c r="A179" s="6">
        <f>'3_TF'!A179</f>
        <v/>
      </c>
      <c r="B179" s="9">
        <f>'3_TF'!B179*'4_IDF'!$E179</f>
        <v/>
      </c>
      <c r="C179" s="9">
        <f>'3_TF'!C179*'4_IDF'!$E179</f>
        <v/>
      </c>
      <c r="D179" s="9">
        <f>'3_TF'!D179*'4_IDF'!$E179</f>
        <v/>
      </c>
      <c r="E179" s="9">
        <f>'3_TF'!E179*'4_IDF'!$E179</f>
        <v/>
      </c>
      <c r="F179" s="9">
        <f>'3_TF'!F179*'4_IDF'!$E179</f>
        <v/>
      </c>
      <c r="G179" s="9">
        <f>'3_TF'!G179*'4_IDF'!$E179</f>
        <v/>
      </c>
      <c r="H179" s="9">
        <f>'3_TF'!H179*'4_IDF'!$E179</f>
        <v/>
      </c>
      <c r="I179" s="9">
        <f>'3_TF'!I179*'4_IDF'!$E179</f>
        <v/>
      </c>
      <c r="J179" s="9">
        <f>'3_TF'!J179*'4_IDF'!$E179</f>
        <v/>
      </c>
      <c r="K179" s="9">
        <f>'3_TF'!K179*'4_IDF'!$E179</f>
        <v/>
      </c>
      <c r="L179" s="9">
        <f>'3_TF'!L179*'4_IDF'!$E179</f>
        <v/>
      </c>
      <c r="M179" s="9">
        <f>'3_TF'!M179*'4_IDF'!$E179</f>
        <v/>
      </c>
      <c r="O179" s="6">
        <f>A179</f>
        <v/>
      </c>
      <c r="P179" s="9">
        <f>IF(B$227=0,0,B179/B$227)</f>
        <v/>
      </c>
      <c r="Q179" s="9">
        <f>IF(C$227=0,0,C179/C$227)</f>
        <v/>
      </c>
      <c r="R179" s="9">
        <f>IF(D$227=0,0,D179/D$227)</f>
        <v/>
      </c>
      <c r="S179" s="9">
        <f>IF(E$227=0,0,E179/E$227)</f>
        <v/>
      </c>
      <c r="T179" s="9">
        <f>IF(F$227=0,0,F179/F$227)</f>
        <v/>
      </c>
      <c r="U179" s="9">
        <f>IF(G$227=0,0,G179/G$227)</f>
        <v/>
      </c>
      <c r="V179" s="9">
        <f>IF(H$227=0,0,H179/H$227)</f>
        <v/>
      </c>
      <c r="W179" s="9">
        <f>IF(I$227=0,0,I179/I$227)</f>
        <v/>
      </c>
      <c r="X179" s="9">
        <f>IF(J$227=0,0,J179/J$227)</f>
        <v/>
      </c>
      <c r="Y179" s="9">
        <f>IF(K$227=0,0,K179/K$227)</f>
        <v/>
      </c>
      <c r="Z179" s="9">
        <f>IF(L$227=0,0,L179/L$227)</f>
        <v/>
      </c>
      <c r="AA179" s="9">
        <f>IF(M$227=0,0,M179/M$227)</f>
        <v/>
      </c>
      <c r="AB179" s="9">
        <f>AVERAGE(P179,Q179,S179)</f>
        <v/>
      </c>
    </row>
    <row r="180">
      <c r="A180" s="6">
        <f>'3_TF'!A180</f>
        <v/>
      </c>
      <c r="B180" s="9">
        <f>'3_TF'!B180*'4_IDF'!$E180</f>
        <v/>
      </c>
      <c r="C180" s="9">
        <f>'3_TF'!C180*'4_IDF'!$E180</f>
        <v/>
      </c>
      <c r="D180" s="9">
        <f>'3_TF'!D180*'4_IDF'!$E180</f>
        <v/>
      </c>
      <c r="E180" s="9">
        <f>'3_TF'!E180*'4_IDF'!$E180</f>
        <v/>
      </c>
      <c r="F180" s="9">
        <f>'3_TF'!F180*'4_IDF'!$E180</f>
        <v/>
      </c>
      <c r="G180" s="9">
        <f>'3_TF'!G180*'4_IDF'!$E180</f>
        <v/>
      </c>
      <c r="H180" s="9">
        <f>'3_TF'!H180*'4_IDF'!$E180</f>
        <v/>
      </c>
      <c r="I180" s="9">
        <f>'3_TF'!I180*'4_IDF'!$E180</f>
        <v/>
      </c>
      <c r="J180" s="9">
        <f>'3_TF'!J180*'4_IDF'!$E180</f>
        <v/>
      </c>
      <c r="K180" s="9">
        <f>'3_TF'!K180*'4_IDF'!$E180</f>
        <v/>
      </c>
      <c r="L180" s="9">
        <f>'3_TF'!L180*'4_IDF'!$E180</f>
        <v/>
      </c>
      <c r="M180" s="9">
        <f>'3_TF'!M180*'4_IDF'!$E180</f>
        <v/>
      </c>
      <c r="O180" s="6">
        <f>A180</f>
        <v/>
      </c>
      <c r="P180" s="9">
        <f>IF(B$227=0,0,B180/B$227)</f>
        <v/>
      </c>
      <c r="Q180" s="9">
        <f>IF(C$227=0,0,C180/C$227)</f>
        <v/>
      </c>
      <c r="R180" s="9">
        <f>IF(D$227=0,0,D180/D$227)</f>
        <v/>
      </c>
      <c r="S180" s="9">
        <f>IF(E$227=0,0,E180/E$227)</f>
        <v/>
      </c>
      <c r="T180" s="9">
        <f>IF(F$227=0,0,F180/F$227)</f>
        <v/>
      </c>
      <c r="U180" s="9">
        <f>IF(G$227=0,0,G180/G$227)</f>
        <v/>
      </c>
      <c r="V180" s="9">
        <f>IF(H$227=0,0,H180/H$227)</f>
        <v/>
      </c>
      <c r="W180" s="9">
        <f>IF(I$227=0,0,I180/I$227)</f>
        <v/>
      </c>
      <c r="X180" s="9">
        <f>IF(J$227=0,0,J180/J$227)</f>
        <v/>
      </c>
      <c r="Y180" s="9">
        <f>IF(K$227=0,0,K180/K$227)</f>
        <v/>
      </c>
      <c r="Z180" s="9">
        <f>IF(L$227=0,0,L180/L$227)</f>
        <v/>
      </c>
      <c r="AA180" s="9">
        <f>IF(M$227=0,0,M180/M$227)</f>
        <v/>
      </c>
      <c r="AB180" s="9">
        <f>AVERAGE(P180,Q180,S180)</f>
        <v/>
      </c>
    </row>
    <row r="181">
      <c r="A181" s="6">
        <f>'3_TF'!A181</f>
        <v/>
      </c>
      <c r="B181" s="9">
        <f>'3_TF'!B181*'4_IDF'!$E181</f>
        <v/>
      </c>
      <c r="C181" s="9">
        <f>'3_TF'!C181*'4_IDF'!$E181</f>
        <v/>
      </c>
      <c r="D181" s="9">
        <f>'3_TF'!D181*'4_IDF'!$E181</f>
        <v/>
      </c>
      <c r="E181" s="9">
        <f>'3_TF'!E181*'4_IDF'!$E181</f>
        <v/>
      </c>
      <c r="F181" s="9">
        <f>'3_TF'!F181*'4_IDF'!$E181</f>
        <v/>
      </c>
      <c r="G181" s="9">
        <f>'3_TF'!G181*'4_IDF'!$E181</f>
        <v/>
      </c>
      <c r="H181" s="9">
        <f>'3_TF'!H181*'4_IDF'!$E181</f>
        <v/>
      </c>
      <c r="I181" s="9">
        <f>'3_TF'!I181*'4_IDF'!$E181</f>
        <v/>
      </c>
      <c r="J181" s="9">
        <f>'3_TF'!J181*'4_IDF'!$E181</f>
        <v/>
      </c>
      <c r="K181" s="9">
        <f>'3_TF'!K181*'4_IDF'!$E181</f>
        <v/>
      </c>
      <c r="L181" s="9">
        <f>'3_TF'!L181*'4_IDF'!$E181</f>
        <v/>
      </c>
      <c r="M181" s="9">
        <f>'3_TF'!M181*'4_IDF'!$E181</f>
        <v/>
      </c>
      <c r="O181" s="6">
        <f>A181</f>
        <v/>
      </c>
      <c r="P181" s="9">
        <f>IF(B$227=0,0,B181/B$227)</f>
        <v/>
      </c>
      <c r="Q181" s="9">
        <f>IF(C$227=0,0,C181/C$227)</f>
        <v/>
      </c>
      <c r="R181" s="9">
        <f>IF(D$227=0,0,D181/D$227)</f>
        <v/>
      </c>
      <c r="S181" s="9">
        <f>IF(E$227=0,0,E181/E$227)</f>
        <v/>
      </c>
      <c r="T181" s="9">
        <f>IF(F$227=0,0,F181/F$227)</f>
        <v/>
      </c>
      <c r="U181" s="9">
        <f>IF(G$227=0,0,G181/G$227)</f>
        <v/>
      </c>
      <c r="V181" s="9">
        <f>IF(H$227=0,0,H181/H$227)</f>
        <v/>
      </c>
      <c r="W181" s="9">
        <f>IF(I$227=0,0,I181/I$227)</f>
        <v/>
      </c>
      <c r="X181" s="9">
        <f>IF(J$227=0,0,J181/J$227)</f>
        <v/>
      </c>
      <c r="Y181" s="9">
        <f>IF(K$227=0,0,K181/K$227)</f>
        <v/>
      </c>
      <c r="Z181" s="9">
        <f>IF(L$227=0,0,L181/L$227)</f>
        <v/>
      </c>
      <c r="AA181" s="9">
        <f>IF(M$227=0,0,M181/M$227)</f>
        <v/>
      </c>
      <c r="AB181" s="9">
        <f>AVERAGE(P181,Q181,S181)</f>
        <v/>
      </c>
    </row>
    <row r="182">
      <c r="A182" s="6">
        <f>'3_TF'!A182</f>
        <v/>
      </c>
      <c r="B182" s="9">
        <f>'3_TF'!B182*'4_IDF'!$E182</f>
        <v/>
      </c>
      <c r="C182" s="9">
        <f>'3_TF'!C182*'4_IDF'!$E182</f>
        <v/>
      </c>
      <c r="D182" s="9">
        <f>'3_TF'!D182*'4_IDF'!$E182</f>
        <v/>
      </c>
      <c r="E182" s="9">
        <f>'3_TF'!E182*'4_IDF'!$E182</f>
        <v/>
      </c>
      <c r="F182" s="9">
        <f>'3_TF'!F182*'4_IDF'!$E182</f>
        <v/>
      </c>
      <c r="G182" s="9">
        <f>'3_TF'!G182*'4_IDF'!$E182</f>
        <v/>
      </c>
      <c r="H182" s="9">
        <f>'3_TF'!H182*'4_IDF'!$E182</f>
        <v/>
      </c>
      <c r="I182" s="9">
        <f>'3_TF'!I182*'4_IDF'!$E182</f>
        <v/>
      </c>
      <c r="J182" s="9">
        <f>'3_TF'!J182*'4_IDF'!$E182</f>
        <v/>
      </c>
      <c r="K182" s="9">
        <f>'3_TF'!K182*'4_IDF'!$E182</f>
        <v/>
      </c>
      <c r="L182" s="9">
        <f>'3_TF'!L182*'4_IDF'!$E182</f>
        <v/>
      </c>
      <c r="M182" s="9">
        <f>'3_TF'!M182*'4_IDF'!$E182</f>
        <v/>
      </c>
      <c r="O182" s="6">
        <f>A182</f>
        <v/>
      </c>
      <c r="P182" s="9">
        <f>IF(B$227=0,0,B182/B$227)</f>
        <v/>
      </c>
      <c r="Q182" s="9">
        <f>IF(C$227=0,0,C182/C$227)</f>
        <v/>
      </c>
      <c r="R182" s="9">
        <f>IF(D$227=0,0,D182/D$227)</f>
        <v/>
      </c>
      <c r="S182" s="9">
        <f>IF(E$227=0,0,E182/E$227)</f>
        <v/>
      </c>
      <c r="T182" s="9">
        <f>IF(F$227=0,0,F182/F$227)</f>
        <v/>
      </c>
      <c r="U182" s="9">
        <f>IF(G$227=0,0,G182/G$227)</f>
        <v/>
      </c>
      <c r="V182" s="9">
        <f>IF(H$227=0,0,H182/H$227)</f>
        <v/>
      </c>
      <c r="W182" s="9">
        <f>IF(I$227=0,0,I182/I$227)</f>
        <v/>
      </c>
      <c r="X182" s="9">
        <f>IF(J$227=0,0,J182/J$227)</f>
        <v/>
      </c>
      <c r="Y182" s="9">
        <f>IF(K$227=0,0,K182/K$227)</f>
        <v/>
      </c>
      <c r="Z182" s="9">
        <f>IF(L$227=0,0,L182/L$227)</f>
        <v/>
      </c>
      <c r="AA182" s="9">
        <f>IF(M$227=0,0,M182/M$227)</f>
        <v/>
      </c>
      <c r="AB182" s="9">
        <f>AVERAGE(P182,Q182,S182)</f>
        <v/>
      </c>
    </row>
    <row r="183">
      <c r="A183" s="6">
        <f>'3_TF'!A183</f>
        <v/>
      </c>
      <c r="B183" s="9">
        <f>'3_TF'!B183*'4_IDF'!$E183</f>
        <v/>
      </c>
      <c r="C183" s="9">
        <f>'3_TF'!C183*'4_IDF'!$E183</f>
        <v/>
      </c>
      <c r="D183" s="9">
        <f>'3_TF'!D183*'4_IDF'!$E183</f>
        <v/>
      </c>
      <c r="E183" s="9">
        <f>'3_TF'!E183*'4_IDF'!$E183</f>
        <v/>
      </c>
      <c r="F183" s="9">
        <f>'3_TF'!F183*'4_IDF'!$E183</f>
        <v/>
      </c>
      <c r="G183" s="9">
        <f>'3_TF'!G183*'4_IDF'!$E183</f>
        <v/>
      </c>
      <c r="H183" s="9">
        <f>'3_TF'!H183*'4_IDF'!$E183</f>
        <v/>
      </c>
      <c r="I183" s="9">
        <f>'3_TF'!I183*'4_IDF'!$E183</f>
        <v/>
      </c>
      <c r="J183" s="9">
        <f>'3_TF'!J183*'4_IDF'!$E183</f>
        <v/>
      </c>
      <c r="K183" s="9">
        <f>'3_TF'!K183*'4_IDF'!$E183</f>
        <v/>
      </c>
      <c r="L183" s="9">
        <f>'3_TF'!L183*'4_IDF'!$E183</f>
        <v/>
      </c>
      <c r="M183" s="9">
        <f>'3_TF'!M183*'4_IDF'!$E183</f>
        <v/>
      </c>
      <c r="O183" s="6">
        <f>A183</f>
        <v/>
      </c>
      <c r="P183" s="9">
        <f>IF(B$227=0,0,B183/B$227)</f>
        <v/>
      </c>
      <c r="Q183" s="9">
        <f>IF(C$227=0,0,C183/C$227)</f>
        <v/>
      </c>
      <c r="R183" s="9">
        <f>IF(D$227=0,0,D183/D$227)</f>
        <v/>
      </c>
      <c r="S183" s="9">
        <f>IF(E$227=0,0,E183/E$227)</f>
        <v/>
      </c>
      <c r="T183" s="9">
        <f>IF(F$227=0,0,F183/F$227)</f>
        <v/>
      </c>
      <c r="U183" s="9">
        <f>IF(G$227=0,0,G183/G$227)</f>
        <v/>
      </c>
      <c r="V183" s="9">
        <f>IF(H$227=0,0,H183/H$227)</f>
        <v/>
      </c>
      <c r="W183" s="9">
        <f>IF(I$227=0,0,I183/I$227)</f>
        <v/>
      </c>
      <c r="X183" s="9">
        <f>IF(J$227=0,0,J183/J$227)</f>
        <v/>
      </c>
      <c r="Y183" s="9">
        <f>IF(K$227=0,0,K183/K$227)</f>
        <v/>
      </c>
      <c r="Z183" s="9">
        <f>IF(L$227=0,0,L183/L$227)</f>
        <v/>
      </c>
      <c r="AA183" s="9">
        <f>IF(M$227=0,0,M183/M$227)</f>
        <v/>
      </c>
      <c r="AB183" s="9">
        <f>AVERAGE(P183,Q183,S183)</f>
        <v/>
      </c>
    </row>
    <row r="184">
      <c r="A184" s="6">
        <f>'3_TF'!A184</f>
        <v/>
      </c>
      <c r="B184" s="9">
        <f>'3_TF'!B184*'4_IDF'!$E184</f>
        <v/>
      </c>
      <c r="C184" s="9">
        <f>'3_TF'!C184*'4_IDF'!$E184</f>
        <v/>
      </c>
      <c r="D184" s="9">
        <f>'3_TF'!D184*'4_IDF'!$E184</f>
        <v/>
      </c>
      <c r="E184" s="9">
        <f>'3_TF'!E184*'4_IDF'!$E184</f>
        <v/>
      </c>
      <c r="F184" s="9">
        <f>'3_TF'!F184*'4_IDF'!$E184</f>
        <v/>
      </c>
      <c r="G184" s="9">
        <f>'3_TF'!G184*'4_IDF'!$E184</f>
        <v/>
      </c>
      <c r="H184" s="9">
        <f>'3_TF'!H184*'4_IDF'!$E184</f>
        <v/>
      </c>
      <c r="I184" s="9">
        <f>'3_TF'!I184*'4_IDF'!$E184</f>
        <v/>
      </c>
      <c r="J184" s="9">
        <f>'3_TF'!J184*'4_IDF'!$E184</f>
        <v/>
      </c>
      <c r="K184" s="9">
        <f>'3_TF'!K184*'4_IDF'!$E184</f>
        <v/>
      </c>
      <c r="L184" s="9">
        <f>'3_TF'!L184*'4_IDF'!$E184</f>
        <v/>
      </c>
      <c r="M184" s="9">
        <f>'3_TF'!M184*'4_IDF'!$E184</f>
        <v/>
      </c>
      <c r="O184" s="6">
        <f>A184</f>
        <v/>
      </c>
      <c r="P184" s="9">
        <f>IF(B$227=0,0,B184/B$227)</f>
        <v/>
      </c>
      <c r="Q184" s="9">
        <f>IF(C$227=0,0,C184/C$227)</f>
        <v/>
      </c>
      <c r="R184" s="9">
        <f>IF(D$227=0,0,D184/D$227)</f>
        <v/>
      </c>
      <c r="S184" s="9">
        <f>IF(E$227=0,0,E184/E$227)</f>
        <v/>
      </c>
      <c r="T184" s="9">
        <f>IF(F$227=0,0,F184/F$227)</f>
        <v/>
      </c>
      <c r="U184" s="9">
        <f>IF(G$227=0,0,G184/G$227)</f>
        <v/>
      </c>
      <c r="V184" s="9">
        <f>IF(H$227=0,0,H184/H$227)</f>
        <v/>
      </c>
      <c r="W184" s="9">
        <f>IF(I$227=0,0,I184/I$227)</f>
        <v/>
      </c>
      <c r="X184" s="9">
        <f>IF(J$227=0,0,J184/J$227)</f>
        <v/>
      </c>
      <c r="Y184" s="9">
        <f>IF(K$227=0,0,K184/K$227)</f>
        <v/>
      </c>
      <c r="Z184" s="9">
        <f>IF(L$227=0,0,L184/L$227)</f>
        <v/>
      </c>
      <c r="AA184" s="9">
        <f>IF(M$227=0,0,M184/M$227)</f>
        <v/>
      </c>
      <c r="AB184" s="9">
        <f>AVERAGE(P184,Q184,S184)</f>
        <v/>
      </c>
    </row>
    <row r="185">
      <c r="A185" s="6">
        <f>'3_TF'!A185</f>
        <v/>
      </c>
      <c r="B185" s="9">
        <f>'3_TF'!B185*'4_IDF'!$E185</f>
        <v/>
      </c>
      <c r="C185" s="9">
        <f>'3_TF'!C185*'4_IDF'!$E185</f>
        <v/>
      </c>
      <c r="D185" s="9">
        <f>'3_TF'!D185*'4_IDF'!$E185</f>
        <v/>
      </c>
      <c r="E185" s="9">
        <f>'3_TF'!E185*'4_IDF'!$E185</f>
        <v/>
      </c>
      <c r="F185" s="9">
        <f>'3_TF'!F185*'4_IDF'!$E185</f>
        <v/>
      </c>
      <c r="G185" s="9">
        <f>'3_TF'!G185*'4_IDF'!$E185</f>
        <v/>
      </c>
      <c r="H185" s="9">
        <f>'3_TF'!H185*'4_IDF'!$E185</f>
        <v/>
      </c>
      <c r="I185" s="9">
        <f>'3_TF'!I185*'4_IDF'!$E185</f>
        <v/>
      </c>
      <c r="J185" s="9">
        <f>'3_TF'!J185*'4_IDF'!$E185</f>
        <v/>
      </c>
      <c r="K185" s="9">
        <f>'3_TF'!K185*'4_IDF'!$E185</f>
        <v/>
      </c>
      <c r="L185" s="9">
        <f>'3_TF'!L185*'4_IDF'!$E185</f>
        <v/>
      </c>
      <c r="M185" s="9">
        <f>'3_TF'!M185*'4_IDF'!$E185</f>
        <v/>
      </c>
      <c r="O185" s="6">
        <f>A185</f>
        <v/>
      </c>
      <c r="P185" s="9">
        <f>IF(B$227=0,0,B185/B$227)</f>
        <v/>
      </c>
      <c r="Q185" s="9">
        <f>IF(C$227=0,0,C185/C$227)</f>
        <v/>
      </c>
      <c r="R185" s="9">
        <f>IF(D$227=0,0,D185/D$227)</f>
        <v/>
      </c>
      <c r="S185" s="9">
        <f>IF(E$227=0,0,E185/E$227)</f>
        <v/>
      </c>
      <c r="T185" s="9">
        <f>IF(F$227=0,0,F185/F$227)</f>
        <v/>
      </c>
      <c r="U185" s="9">
        <f>IF(G$227=0,0,G185/G$227)</f>
        <v/>
      </c>
      <c r="V185" s="9">
        <f>IF(H$227=0,0,H185/H$227)</f>
        <v/>
      </c>
      <c r="W185" s="9">
        <f>IF(I$227=0,0,I185/I$227)</f>
        <v/>
      </c>
      <c r="X185" s="9">
        <f>IF(J$227=0,0,J185/J$227)</f>
        <v/>
      </c>
      <c r="Y185" s="9">
        <f>IF(K$227=0,0,K185/K$227)</f>
        <v/>
      </c>
      <c r="Z185" s="9">
        <f>IF(L$227=0,0,L185/L$227)</f>
        <v/>
      </c>
      <c r="AA185" s="9">
        <f>IF(M$227=0,0,M185/M$227)</f>
        <v/>
      </c>
      <c r="AB185" s="9">
        <f>AVERAGE(P185,Q185,S185)</f>
        <v/>
      </c>
    </row>
    <row r="186">
      <c r="A186" s="6">
        <f>'3_TF'!A186</f>
        <v/>
      </c>
      <c r="B186" s="9">
        <f>'3_TF'!B186*'4_IDF'!$E186</f>
        <v/>
      </c>
      <c r="C186" s="9">
        <f>'3_TF'!C186*'4_IDF'!$E186</f>
        <v/>
      </c>
      <c r="D186" s="9">
        <f>'3_TF'!D186*'4_IDF'!$E186</f>
        <v/>
      </c>
      <c r="E186" s="9">
        <f>'3_TF'!E186*'4_IDF'!$E186</f>
        <v/>
      </c>
      <c r="F186" s="9">
        <f>'3_TF'!F186*'4_IDF'!$E186</f>
        <v/>
      </c>
      <c r="G186" s="9">
        <f>'3_TF'!G186*'4_IDF'!$E186</f>
        <v/>
      </c>
      <c r="H186" s="9">
        <f>'3_TF'!H186*'4_IDF'!$E186</f>
        <v/>
      </c>
      <c r="I186" s="9">
        <f>'3_TF'!I186*'4_IDF'!$E186</f>
        <v/>
      </c>
      <c r="J186" s="9">
        <f>'3_TF'!J186*'4_IDF'!$E186</f>
        <v/>
      </c>
      <c r="K186" s="9">
        <f>'3_TF'!K186*'4_IDF'!$E186</f>
        <v/>
      </c>
      <c r="L186" s="9">
        <f>'3_TF'!L186*'4_IDF'!$E186</f>
        <v/>
      </c>
      <c r="M186" s="9">
        <f>'3_TF'!M186*'4_IDF'!$E186</f>
        <v/>
      </c>
      <c r="O186" s="6">
        <f>A186</f>
        <v/>
      </c>
      <c r="P186" s="9">
        <f>IF(B$227=0,0,B186/B$227)</f>
        <v/>
      </c>
      <c r="Q186" s="9">
        <f>IF(C$227=0,0,C186/C$227)</f>
        <v/>
      </c>
      <c r="R186" s="9">
        <f>IF(D$227=0,0,D186/D$227)</f>
        <v/>
      </c>
      <c r="S186" s="9">
        <f>IF(E$227=0,0,E186/E$227)</f>
        <v/>
      </c>
      <c r="T186" s="9">
        <f>IF(F$227=0,0,F186/F$227)</f>
        <v/>
      </c>
      <c r="U186" s="9">
        <f>IF(G$227=0,0,G186/G$227)</f>
        <v/>
      </c>
      <c r="V186" s="9">
        <f>IF(H$227=0,0,H186/H$227)</f>
        <v/>
      </c>
      <c r="W186" s="9">
        <f>IF(I$227=0,0,I186/I$227)</f>
        <v/>
      </c>
      <c r="X186" s="9">
        <f>IF(J$227=0,0,J186/J$227)</f>
        <v/>
      </c>
      <c r="Y186" s="9">
        <f>IF(K$227=0,0,K186/K$227)</f>
        <v/>
      </c>
      <c r="Z186" s="9">
        <f>IF(L$227=0,0,L186/L$227)</f>
        <v/>
      </c>
      <c r="AA186" s="9">
        <f>IF(M$227=0,0,M186/M$227)</f>
        <v/>
      </c>
      <c r="AB186" s="9">
        <f>AVERAGE(P186,Q186,S186)</f>
        <v/>
      </c>
    </row>
    <row r="187">
      <c r="A187" s="6">
        <f>'3_TF'!A187</f>
        <v/>
      </c>
      <c r="B187" s="9">
        <f>'3_TF'!B187*'4_IDF'!$E187</f>
        <v/>
      </c>
      <c r="C187" s="9">
        <f>'3_TF'!C187*'4_IDF'!$E187</f>
        <v/>
      </c>
      <c r="D187" s="9">
        <f>'3_TF'!D187*'4_IDF'!$E187</f>
        <v/>
      </c>
      <c r="E187" s="9">
        <f>'3_TF'!E187*'4_IDF'!$E187</f>
        <v/>
      </c>
      <c r="F187" s="9">
        <f>'3_TF'!F187*'4_IDF'!$E187</f>
        <v/>
      </c>
      <c r="G187" s="9">
        <f>'3_TF'!G187*'4_IDF'!$E187</f>
        <v/>
      </c>
      <c r="H187" s="9">
        <f>'3_TF'!H187*'4_IDF'!$E187</f>
        <v/>
      </c>
      <c r="I187" s="9">
        <f>'3_TF'!I187*'4_IDF'!$E187</f>
        <v/>
      </c>
      <c r="J187" s="9">
        <f>'3_TF'!J187*'4_IDF'!$E187</f>
        <v/>
      </c>
      <c r="K187" s="9">
        <f>'3_TF'!K187*'4_IDF'!$E187</f>
        <v/>
      </c>
      <c r="L187" s="9">
        <f>'3_TF'!L187*'4_IDF'!$E187</f>
        <v/>
      </c>
      <c r="M187" s="9">
        <f>'3_TF'!M187*'4_IDF'!$E187</f>
        <v/>
      </c>
      <c r="O187" s="6">
        <f>A187</f>
        <v/>
      </c>
      <c r="P187" s="9">
        <f>IF(B$227=0,0,B187/B$227)</f>
        <v/>
      </c>
      <c r="Q187" s="9">
        <f>IF(C$227=0,0,C187/C$227)</f>
        <v/>
      </c>
      <c r="R187" s="9">
        <f>IF(D$227=0,0,D187/D$227)</f>
        <v/>
      </c>
      <c r="S187" s="9">
        <f>IF(E$227=0,0,E187/E$227)</f>
        <v/>
      </c>
      <c r="T187" s="9">
        <f>IF(F$227=0,0,F187/F$227)</f>
        <v/>
      </c>
      <c r="U187" s="9">
        <f>IF(G$227=0,0,G187/G$227)</f>
        <v/>
      </c>
      <c r="V187" s="9">
        <f>IF(H$227=0,0,H187/H$227)</f>
        <v/>
      </c>
      <c r="W187" s="9">
        <f>IF(I$227=0,0,I187/I$227)</f>
        <v/>
      </c>
      <c r="X187" s="9">
        <f>IF(J$227=0,0,J187/J$227)</f>
        <v/>
      </c>
      <c r="Y187" s="9">
        <f>IF(K$227=0,0,K187/K$227)</f>
        <v/>
      </c>
      <c r="Z187" s="9">
        <f>IF(L$227=0,0,L187/L$227)</f>
        <v/>
      </c>
      <c r="AA187" s="9">
        <f>IF(M$227=0,0,M187/M$227)</f>
        <v/>
      </c>
      <c r="AB187" s="9">
        <f>AVERAGE(P187,Q187,S187)</f>
        <v/>
      </c>
    </row>
    <row r="188">
      <c r="A188" s="6">
        <f>'3_TF'!A188</f>
        <v/>
      </c>
      <c r="B188" s="9">
        <f>'3_TF'!B188*'4_IDF'!$E188</f>
        <v/>
      </c>
      <c r="C188" s="9">
        <f>'3_TF'!C188*'4_IDF'!$E188</f>
        <v/>
      </c>
      <c r="D188" s="9">
        <f>'3_TF'!D188*'4_IDF'!$E188</f>
        <v/>
      </c>
      <c r="E188" s="9">
        <f>'3_TF'!E188*'4_IDF'!$E188</f>
        <v/>
      </c>
      <c r="F188" s="9">
        <f>'3_TF'!F188*'4_IDF'!$E188</f>
        <v/>
      </c>
      <c r="G188" s="9">
        <f>'3_TF'!G188*'4_IDF'!$E188</f>
        <v/>
      </c>
      <c r="H188" s="9">
        <f>'3_TF'!H188*'4_IDF'!$E188</f>
        <v/>
      </c>
      <c r="I188" s="9">
        <f>'3_TF'!I188*'4_IDF'!$E188</f>
        <v/>
      </c>
      <c r="J188" s="9">
        <f>'3_TF'!J188*'4_IDF'!$E188</f>
        <v/>
      </c>
      <c r="K188" s="9">
        <f>'3_TF'!K188*'4_IDF'!$E188</f>
        <v/>
      </c>
      <c r="L188" s="9">
        <f>'3_TF'!L188*'4_IDF'!$E188</f>
        <v/>
      </c>
      <c r="M188" s="9">
        <f>'3_TF'!M188*'4_IDF'!$E188</f>
        <v/>
      </c>
      <c r="O188" s="6">
        <f>A188</f>
        <v/>
      </c>
      <c r="P188" s="9">
        <f>IF(B$227=0,0,B188/B$227)</f>
        <v/>
      </c>
      <c r="Q188" s="9">
        <f>IF(C$227=0,0,C188/C$227)</f>
        <v/>
      </c>
      <c r="R188" s="9">
        <f>IF(D$227=0,0,D188/D$227)</f>
        <v/>
      </c>
      <c r="S188" s="9">
        <f>IF(E$227=0,0,E188/E$227)</f>
        <v/>
      </c>
      <c r="T188" s="9">
        <f>IF(F$227=0,0,F188/F$227)</f>
        <v/>
      </c>
      <c r="U188" s="9">
        <f>IF(G$227=0,0,G188/G$227)</f>
        <v/>
      </c>
      <c r="V188" s="9">
        <f>IF(H$227=0,0,H188/H$227)</f>
        <v/>
      </c>
      <c r="W188" s="9">
        <f>IF(I$227=0,0,I188/I$227)</f>
        <v/>
      </c>
      <c r="X188" s="9">
        <f>IF(J$227=0,0,J188/J$227)</f>
        <v/>
      </c>
      <c r="Y188" s="9">
        <f>IF(K$227=0,0,K188/K$227)</f>
        <v/>
      </c>
      <c r="Z188" s="9">
        <f>IF(L$227=0,0,L188/L$227)</f>
        <v/>
      </c>
      <c r="AA188" s="9">
        <f>IF(M$227=0,0,M188/M$227)</f>
        <v/>
      </c>
      <c r="AB188" s="9">
        <f>AVERAGE(P188,Q188,S188)</f>
        <v/>
      </c>
    </row>
    <row r="189">
      <c r="A189" s="6">
        <f>'3_TF'!A189</f>
        <v/>
      </c>
      <c r="B189" s="9">
        <f>'3_TF'!B189*'4_IDF'!$E189</f>
        <v/>
      </c>
      <c r="C189" s="9">
        <f>'3_TF'!C189*'4_IDF'!$E189</f>
        <v/>
      </c>
      <c r="D189" s="9">
        <f>'3_TF'!D189*'4_IDF'!$E189</f>
        <v/>
      </c>
      <c r="E189" s="9">
        <f>'3_TF'!E189*'4_IDF'!$E189</f>
        <v/>
      </c>
      <c r="F189" s="9">
        <f>'3_TF'!F189*'4_IDF'!$E189</f>
        <v/>
      </c>
      <c r="G189" s="9">
        <f>'3_TF'!G189*'4_IDF'!$E189</f>
        <v/>
      </c>
      <c r="H189" s="9">
        <f>'3_TF'!H189*'4_IDF'!$E189</f>
        <v/>
      </c>
      <c r="I189" s="9">
        <f>'3_TF'!I189*'4_IDF'!$E189</f>
        <v/>
      </c>
      <c r="J189" s="9">
        <f>'3_TF'!J189*'4_IDF'!$E189</f>
        <v/>
      </c>
      <c r="K189" s="9">
        <f>'3_TF'!K189*'4_IDF'!$E189</f>
        <v/>
      </c>
      <c r="L189" s="9">
        <f>'3_TF'!L189*'4_IDF'!$E189</f>
        <v/>
      </c>
      <c r="M189" s="9">
        <f>'3_TF'!M189*'4_IDF'!$E189</f>
        <v/>
      </c>
      <c r="O189" s="6">
        <f>A189</f>
        <v/>
      </c>
      <c r="P189" s="9">
        <f>IF(B$227=0,0,B189/B$227)</f>
        <v/>
      </c>
      <c r="Q189" s="9">
        <f>IF(C$227=0,0,C189/C$227)</f>
        <v/>
      </c>
      <c r="R189" s="9">
        <f>IF(D$227=0,0,D189/D$227)</f>
        <v/>
      </c>
      <c r="S189" s="9">
        <f>IF(E$227=0,0,E189/E$227)</f>
        <v/>
      </c>
      <c r="T189" s="9">
        <f>IF(F$227=0,0,F189/F$227)</f>
        <v/>
      </c>
      <c r="U189" s="9">
        <f>IF(G$227=0,0,G189/G$227)</f>
        <v/>
      </c>
      <c r="V189" s="9">
        <f>IF(H$227=0,0,H189/H$227)</f>
        <v/>
      </c>
      <c r="W189" s="9">
        <f>IF(I$227=0,0,I189/I$227)</f>
        <v/>
      </c>
      <c r="X189" s="9">
        <f>IF(J$227=0,0,J189/J$227)</f>
        <v/>
      </c>
      <c r="Y189" s="9">
        <f>IF(K$227=0,0,K189/K$227)</f>
        <v/>
      </c>
      <c r="Z189" s="9">
        <f>IF(L$227=0,0,L189/L$227)</f>
        <v/>
      </c>
      <c r="AA189" s="9">
        <f>IF(M$227=0,0,M189/M$227)</f>
        <v/>
      </c>
      <c r="AB189" s="9">
        <f>AVERAGE(P189,Q189,S189)</f>
        <v/>
      </c>
    </row>
    <row r="190">
      <c r="A190" s="6">
        <f>'3_TF'!A190</f>
        <v/>
      </c>
      <c r="B190" s="9">
        <f>'3_TF'!B190*'4_IDF'!$E190</f>
        <v/>
      </c>
      <c r="C190" s="9">
        <f>'3_TF'!C190*'4_IDF'!$E190</f>
        <v/>
      </c>
      <c r="D190" s="9">
        <f>'3_TF'!D190*'4_IDF'!$E190</f>
        <v/>
      </c>
      <c r="E190" s="9">
        <f>'3_TF'!E190*'4_IDF'!$E190</f>
        <v/>
      </c>
      <c r="F190" s="9">
        <f>'3_TF'!F190*'4_IDF'!$E190</f>
        <v/>
      </c>
      <c r="G190" s="9">
        <f>'3_TF'!G190*'4_IDF'!$E190</f>
        <v/>
      </c>
      <c r="H190" s="9">
        <f>'3_TF'!H190*'4_IDF'!$E190</f>
        <v/>
      </c>
      <c r="I190" s="9">
        <f>'3_TF'!I190*'4_IDF'!$E190</f>
        <v/>
      </c>
      <c r="J190" s="9">
        <f>'3_TF'!J190*'4_IDF'!$E190</f>
        <v/>
      </c>
      <c r="K190" s="9">
        <f>'3_TF'!K190*'4_IDF'!$E190</f>
        <v/>
      </c>
      <c r="L190" s="9">
        <f>'3_TF'!L190*'4_IDF'!$E190</f>
        <v/>
      </c>
      <c r="M190" s="9">
        <f>'3_TF'!M190*'4_IDF'!$E190</f>
        <v/>
      </c>
      <c r="O190" s="6">
        <f>A190</f>
        <v/>
      </c>
      <c r="P190" s="9">
        <f>IF(B$227=0,0,B190/B$227)</f>
        <v/>
      </c>
      <c r="Q190" s="9">
        <f>IF(C$227=0,0,C190/C$227)</f>
        <v/>
      </c>
      <c r="R190" s="9">
        <f>IF(D$227=0,0,D190/D$227)</f>
        <v/>
      </c>
      <c r="S190" s="9">
        <f>IF(E$227=0,0,E190/E$227)</f>
        <v/>
      </c>
      <c r="T190" s="9">
        <f>IF(F$227=0,0,F190/F$227)</f>
        <v/>
      </c>
      <c r="U190" s="9">
        <f>IF(G$227=0,0,G190/G$227)</f>
        <v/>
      </c>
      <c r="V190" s="9">
        <f>IF(H$227=0,0,H190/H$227)</f>
        <v/>
      </c>
      <c r="W190" s="9">
        <f>IF(I$227=0,0,I190/I$227)</f>
        <v/>
      </c>
      <c r="X190" s="9">
        <f>IF(J$227=0,0,J190/J$227)</f>
        <v/>
      </c>
      <c r="Y190" s="9">
        <f>IF(K$227=0,0,K190/K$227)</f>
        <v/>
      </c>
      <c r="Z190" s="9">
        <f>IF(L$227=0,0,L190/L$227)</f>
        <v/>
      </c>
      <c r="AA190" s="9">
        <f>IF(M$227=0,0,M190/M$227)</f>
        <v/>
      </c>
      <c r="AB190" s="9">
        <f>AVERAGE(P190,Q190,S190)</f>
        <v/>
      </c>
    </row>
    <row r="191">
      <c r="A191" s="6">
        <f>'3_TF'!A191</f>
        <v/>
      </c>
      <c r="B191" s="9">
        <f>'3_TF'!B191*'4_IDF'!$E191</f>
        <v/>
      </c>
      <c r="C191" s="9">
        <f>'3_TF'!C191*'4_IDF'!$E191</f>
        <v/>
      </c>
      <c r="D191" s="9">
        <f>'3_TF'!D191*'4_IDF'!$E191</f>
        <v/>
      </c>
      <c r="E191" s="9">
        <f>'3_TF'!E191*'4_IDF'!$E191</f>
        <v/>
      </c>
      <c r="F191" s="9">
        <f>'3_TF'!F191*'4_IDF'!$E191</f>
        <v/>
      </c>
      <c r="G191" s="9">
        <f>'3_TF'!G191*'4_IDF'!$E191</f>
        <v/>
      </c>
      <c r="H191" s="9">
        <f>'3_TF'!H191*'4_IDF'!$E191</f>
        <v/>
      </c>
      <c r="I191" s="9">
        <f>'3_TF'!I191*'4_IDF'!$E191</f>
        <v/>
      </c>
      <c r="J191" s="9">
        <f>'3_TF'!J191*'4_IDF'!$E191</f>
        <v/>
      </c>
      <c r="K191" s="9">
        <f>'3_TF'!K191*'4_IDF'!$E191</f>
        <v/>
      </c>
      <c r="L191" s="9">
        <f>'3_TF'!L191*'4_IDF'!$E191</f>
        <v/>
      </c>
      <c r="M191" s="9">
        <f>'3_TF'!M191*'4_IDF'!$E191</f>
        <v/>
      </c>
      <c r="O191" s="6">
        <f>A191</f>
        <v/>
      </c>
      <c r="P191" s="9">
        <f>IF(B$227=0,0,B191/B$227)</f>
        <v/>
      </c>
      <c r="Q191" s="9">
        <f>IF(C$227=0,0,C191/C$227)</f>
        <v/>
      </c>
      <c r="R191" s="9">
        <f>IF(D$227=0,0,D191/D$227)</f>
        <v/>
      </c>
      <c r="S191" s="9">
        <f>IF(E$227=0,0,E191/E$227)</f>
        <v/>
      </c>
      <c r="T191" s="9">
        <f>IF(F$227=0,0,F191/F$227)</f>
        <v/>
      </c>
      <c r="U191" s="9">
        <f>IF(G$227=0,0,G191/G$227)</f>
        <v/>
      </c>
      <c r="V191" s="9">
        <f>IF(H$227=0,0,H191/H$227)</f>
        <v/>
      </c>
      <c r="W191" s="9">
        <f>IF(I$227=0,0,I191/I$227)</f>
        <v/>
      </c>
      <c r="X191" s="9">
        <f>IF(J$227=0,0,J191/J$227)</f>
        <v/>
      </c>
      <c r="Y191" s="9">
        <f>IF(K$227=0,0,K191/K$227)</f>
        <v/>
      </c>
      <c r="Z191" s="9">
        <f>IF(L$227=0,0,L191/L$227)</f>
        <v/>
      </c>
      <c r="AA191" s="9">
        <f>IF(M$227=0,0,M191/M$227)</f>
        <v/>
      </c>
      <c r="AB191" s="9">
        <f>AVERAGE(P191,Q191,S191)</f>
        <v/>
      </c>
    </row>
    <row r="192">
      <c r="A192" s="6">
        <f>'3_TF'!A192</f>
        <v/>
      </c>
      <c r="B192" s="9">
        <f>'3_TF'!B192*'4_IDF'!$E192</f>
        <v/>
      </c>
      <c r="C192" s="9">
        <f>'3_TF'!C192*'4_IDF'!$E192</f>
        <v/>
      </c>
      <c r="D192" s="9">
        <f>'3_TF'!D192*'4_IDF'!$E192</f>
        <v/>
      </c>
      <c r="E192" s="9">
        <f>'3_TF'!E192*'4_IDF'!$E192</f>
        <v/>
      </c>
      <c r="F192" s="9">
        <f>'3_TF'!F192*'4_IDF'!$E192</f>
        <v/>
      </c>
      <c r="G192" s="9">
        <f>'3_TF'!G192*'4_IDF'!$E192</f>
        <v/>
      </c>
      <c r="H192" s="9">
        <f>'3_TF'!H192*'4_IDF'!$E192</f>
        <v/>
      </c>
      <c r="I192" s="9">
        <f>'3_TF'!I192*'4_IDF'!$E192</f>
        <v/>
      </c>
      <c r="J192" s="9">
        <f>'3_TF'!J192*'4_IDF'!$E192</f>
        <v/>
      </c>
      <c r="K192" s="9">
        <f>'3_TF'!K192*'4_IDF'!$E192</f>
        <v/>
      </c>
      <c r="L192" s="9">
        <f>'3_TF'!L192*'4_IDF'!$E192</f>
        <v/>
      </c>
      <c r="M192" s="9">
        <f>'3_TF'!M192*'4_IDF'!$E192</f>
        <v/>
      </c>
      <c r="O192" s="6">
        <f>A192</f>
        <v/>
      </c>
      <c r="P192" s="9">
        <f>IF(B$227=0,0,B192/B$227)</f>
        <v/>
      </c>
      <c r="Q192" s="9">
        <f>IF(C$227=0,0,C192/C$227)</f>
        <v/>
      </c>
      <c r="R192" s="9">
        <f>IF(D$227=0,0,D192/D$227)</f>
        <v/>
      </c>
      <c r="S192" s="9">
        <f>IF(E$227=0,0,E192/E$227)</f>
        <v/>
      </c>
      <c r="T192" s="9">
        <f>IF(F$227=0,0,F192/F$227)</f>
        <v/>
      </c>
      <c r="U192" s="9">
        <f>IF(G$227=0,0,G192/G$227)</f>
        <v/>
      </c>
      <c r="V192" s="9">
        <f>IF(H$227=0,0,H192/H$227)</f>
        <v/>
      </c>
      <c r="W192" s="9">
        <f>IF(I$227=0,0,I192/I$227)</f>
        <v/>
      </c>
      <c r="X192" s="9">
        <f>IF(J$227=0,0,J192/J$227)</f>
        <v/>
      </c>
      <c r="Y192" s="9">
        <f>IF(K$227=0,0,K192/K$227)</f>
        <v/>
      </c>
      <c r="Z192" s="9">
        <f>IF(L$227=0,0,L192/L$227)</f>
        <v/>
      </c>
      <c r="AA192" s="9">
        <f>IF(M$227=0,0,M192/M$227)</f>
        <v/>
      </c>
      <c r="AB192" s="9">
        <f>AVERAGE(P192,Q192,S192)</f>
        <v/>
      </c>
    </row>
    <row r="193">
      <c r="A193" s="6">
        <f>'3_TF'!A193</f>
        <v/>
      </c>
      <c r="B193" s="9">
        <f>'3_TF'!B193*'4_IDF'!$E193</f>
        <v/>
      </c>
      <c r="C193" s="9">
        <f>'3_TF'!C193*'4_IDF'!$E193</f>
        <v/>
      </c>
      <c r="D193" s="9">
        <f>'3_TF'!D193*'4_IDF'!$E193</f>
        <v/>
      </c>
      <c r="E193" s="9">
        <f>'3_TF'!E193*'4_IDF'!$E193</f>
        <v/>
      </c>
      <c r="F193" s="9">
        <f>'3_TF'!F193*'4_IDF'!$E193</f>
        <v/>
      </c>
      <c r="G193" s="9">
        <f>'3_TF'!G193*'4_IDF'!$E193</f>
        <v/>
      </c>
      <c r="H193" s="9">
        <f>'3_TF'!H193*'4_IDF'!$E193</f>
        <v/>
      </c>
      <c r="I193" s="9">
        <f>'3_TF'!I193*'4_IDF'!$E193</f>
        <v/>
      </c>
      <c r="J193" s="9">
        <f>'3_TF'!J193*'4_IDF'!$E193</f>
        <v/>
      </c>
      <c r="K193" s="9">
        <f>'3_TF'!K193*'4_IDF'!$E193</f>
        <v/>
      </c>
      <c r="L193" s="9">
        <f>'3_TF'!L193*'4_IDF'!$E193</f>
        <v/>
      </c>
      <c r="M193" s="9">
        <f>'3_TF'!M193*'4_IDF'!$E193</f>
        <v/>
      </c>
      <c r="O193" s="6">
        <f>A193</f>
        <v/>
      </c>
      <c r="P193" s="9">
        <f>IF(B$227=0,0,B193/B$227)</f>
        <v/>
      </c>
      <c r="Q193" s="9">
        <f>IF(C$227=0,0,C193/C$227)</f>
        <v/>
      </c>
      <c r="R193" s="9">
        <f>IF(D$227=0,0,D193/D$227)</f>
        <v/>
      </c>
      <c r="S193" s="9">
        <f>IF(E$227=0,0,E193/E$227)</f>
        <v/>
      </c>
      <c r="T193" s="9">
        <f>IF(F$227=0,0,F193/F$227)</f>
        <v/>
      </c>
      <c r="U193" s="9">
        <f>IF(G$227=0,0,G193/G$227)</f>
        <v/>
      </c>
      <c r="V193" s="9">
        <f>IF(H$227=0,0,H193/H$227)</f>
        <v/>
      </c>
      <c r="W193" s="9">
        <f>IF(I$227=0,0,I193/I$227)</f>
        <v/>
      </c>
      <c r="X193" s="9">
        <f>IF(J$227=0,0,J193/J$227)</f>
        <v/>
      </c>
      <c r="Y193" s="9">
        <f>IF(K$227=0,0,K193/K$227)</f>
        <v/>
      </c>
      <c r="Z193" s="9">
        <f>IF(L$227=0,0,L193/L$227)</f>
        <v/>
      </c>
      <c r="AA193" s="9">
        <f>IF(M$227=0,0,M193/M$227)</f>
        <v/>
      </c>
      <c r="AB193" s="9">
        <f>AVERAGE(P193,Q193,S193)</f>
        <v/>
      </c>
    </row>
    <row r="194">
      <c r="A194" s="6">
        <f>'3_TF'!A194</f>
        <v/>
      </c>
      <c r="B194" s="9">
        <f>'3_TF'!B194*'4_IDF'!$E194</f>
        <v/>
      </c>
      <c r="C194" s="9">
        <f>'3_TF'!C194*'4_IDF'!$E194</f>
        <v/>
      </c>
      <c r="D194" s="9">
        <f>'3_TF'!D194*'4_IDF'!$E194</f>
        <v/>
      </c>
      <c r="E194" s="9">
        <f>'3_TF'!E194*'4_IDF'!$E194</f>
        <v/>
      </c>
      <c r="F194" s="9">
        <f>'3_TF'!F194*'4_IDF'!$E194</f>
        <v/>
      </c>
      <c r="G194" s="9">
        <f>'3_TF'!G194*'4_IDF'!$E194</f>
        <v/>
      </c>
      <c r="H194" s="9">
        <f>'3_TF'!H194*'4_IDF'!$E194</f>
        <v/>
      </c>
      <c r="I194" s="9">
        <f>'3_TF'!I194*'4_IDF'!$E194</f>
        <v/>
      </c>
      <c r="J194" s="9">
        <f>'3_TF'!J194*'4_IDF'!$E194</f>
        <v/>
      </c>
      <c r="K194" s="9">
        <f>'3_TF'!K194*'4_IDF'!$E194</f>
        <v/>
      </c>
      <c r="L194" s="9">
        <f>'3_TF'!L194*'4_IDF'!$E194</f>
        <v/>
      </c>
      <c r="M194" s="9">
        <f>'3_TF'!M194*'4_IDF'!$E194</f>
        <v/>
      </c>
      <c r="O194" s="6">
        <f>A194</f>
        <v/>
      </c>
      <c r="P194" s="9">
        <f>IF(B$227=0,0,B194/B$227)</f>
        <v/>
      </c>
      <c r="Q194" s="9">
        <f>IF(C$227=0,0,C194/C$227)</f>
        <v/>
      </c>
      <c r="R194" s="9">
        <f>IF(D$227=0,0,D194/D$227)</f>
        <v/>
      </c>
      <c r="S194" s="9">
        <f>IF(E$227=0,0,E194/E$227)</f>
        <v/>
      </c>
      <c r="T194" s="9">
        <f>IF(F$227=0,0,F194/F$227)</f>
        <v/>
      </c>
      <c r="U194" s="9">
        <f>IF(G$227=0,0,G194/G$227)</f>
        <v/>
      </c>
      <c r="V194" s="9">
        <f>IF(H$227=0,0,H194/H$227)</f>
        <v/>
      </c>
      <c r="W194" s="9">
        <f>IF(I$227=0,0,I194/I$227)</f>
        <v/>
      </c>
      <c r="X194" s="9">
        <f>IF(J$227=0,0,J194/J$227)</f>
        <v/>
      </c>
      <c r="Y194" s="9">
        <f>IF(K$227=0,0,K194/K$227)</f>
        <v/>
      </c>
      <c r="Z194" s="9">
        <f>IF(L$227=0,0,L194/L$227)</f>
        <v/>
      </c>
      <c r="AA194" s="9">
        <f>IF(M$227=0,0,M194/M$227)</f>
        <v/>
      </c>
      <c r="AB194" s="9">
        <f>AVERAGE(P194,Q194,S194)</f>
        <v/>
      </c>
    </row>
    <row r="195">
      <c r="A195" s="6">
        <f>'3_TF'!A195</f>
        <v/>
      </c>
      <c r="B195" s="9">
        <f>'3_TF'!B195*'4_IDF'!$E195</f>
        <v/>
      </c>
      <c r="C195" s="9">
        <f>'3_TF'!C195*'4_IDF'!$E195</f>
        <v/>
      </c>
      <c r="D195" s="9">
        <f>'3_TF'!D195*'4_IDF'!$E195</f>
        <v/>
      </c>
      <c r="E195" s="9">
        <f>'3_TF'!E195*'4_IDF'!$E195</f>
        <v/>
      </c>
      <c r="F195" s="9">
        <f>'3_TF'!F195*'4_IDF'!$E195</f>
        <v/>
      </c>
      <c r="G195" s="9">
        <f>'3_TF'!G195*'4_IDF'!$E195</f>
        <v/>
      </c>
      <c r="H195" s="9">
        <f>'3_TF'!H195*'4_IDF'!$E195</f>
        <v/>
      </c>
      <c r="I195" s="9">
        <f>'3_TF'!I195*'4_IDF'!$E195</f>
        <v/>
      </c>
      <c r="J195" s="9">
        <f>'3_TF'!J195*'4_IDF'!$E195</f>
        <v/>
      </c>
      <c r="K195" s="9">
        <f>'3_TF'!K195*'4_IDF'!$E195</f>
        <v/>
      </c>
      <c r="L195" s="9">
        <f>'3_TF'!L195*'4_IDF'!$E195</f>
        <v/>
      </c>
      <c r="M195" s="9">
        <f>'3_TF'!M195*'4_IDF'!$E195</f>
        <v/>
      </c>
      <c r="O195" s="6">
        <f>A195</f>
        <v/>
      </c>
      <c r="P195" s="9">
        <f>IF(B$227=0,0,B195/B$227)</f>
        <v/>
      </c>
      <c r="Q195" s="9">
        <f>IF(C$227=0,0,C195/C$227)</f>
        <v/>
      </c>
      <c r="R195" s="9">
        <f>IF(D$227=0,0,D195/D$227)</f>
        <v/>
      </c>
      <c r="S195" s="9">
        <f>IF(E$227=0,0,E195/E$227)</f>
        <v/>
      </c>
      <c r="T195" s="9">
        <f>IF(F$227=0,0,F195/F$227)</f>
        <v/>
      </c>
      <c r="U195" s="9">
        <f>IF(G$227=0,0,G195/G$227)</f>
        <v/>
      </c>
      <c r="V195" s="9">
        <f>IF(H$227=0,0,H195/H$227)</f>
        <v/>
      </c>
      <c r="W195" s="9">
        <f>IF(I$227=0,0,I195/I$227)</f>
        <v/>
      </c>
      <c r="X195" s="9">
        <f>IF(J$227=0,0,J195/J$227)</f>
        <v/>
      </c>
      <c r="Y195" s="9">
        <f>IF(K$227=0,0,K195/K$227)</f>
        <v/>
      </c>
      <c r="Z195" s="9">
        <f>IF(L$227=0,0,L195/L$227)</f>
        <v/>
      </c>
      <c r="AA195" s="9">
        <f>IF(M$227=0,0,M195/M$227)</f>
        <v/>
      </c>
      <c r="AB195" s="9">
        <f>AVERAGE(P195,Q195,S195)</f>
        <v/>
      </c>
    </row>
    <row r="196">
      <c r="A196" s="6">
        <f>'3_TF'!A196</f>
        <v/>
      </c>
      <c r="B196" s="9">
        <f>'3_TF'!B196*'4_IDF'!$E196</f>
        <v/>
      </c>
      <c r="C196" s="9">
        <f>'3_TF'!C196*'4_IDF'!$E196</f>
        <v/>
      </c>
      <c r="D196" s="9">
        <f>'3_TF'!D196*'4_IDF'!$E196</f>
        <v/>
      </c>
      <c r="E196" s="9">
        <f>'3_TF'!E196*'4_IDF'!$E196</f>
        <v/>
      </c>
      <c r="F196" s="9">
        <f>'3_TF'!F196*'4_IDF'!$E196</f>
        <v/>
      </c>
      <c r="G196" s="9">
        <f>'3_TF'!G196*'4_IDF'!$E196</f>
        <v/>
      </c>
      <c r="H196" s="9">
        <f>'3_TF'!H196*'4_IDF'!$E196</f>
        <v/>
      </c>
      <c r="I196" s="9">
        <f>'3_TF'!I196*'4_IDF'!$E196</f>
        <v/>
      </c>
      <c r="J196" s="9">
        <f>'3_TF'!J196*'4_IDF'!$E196</f>
        <v/>
      </c>
      <c r="K196" s="9">
        <f>'3_TF'!K196*'4_IDF'!$E196</f>
        <v/>
      </c>
      <c r="L196" s="9">
        <f>'3_TF'!L196*'4_IDF'!$E196</f>
        <v/>
      </c>
      <c r="M196" s="9">
        <f>'3_TF'!M196*'4_IDF'!$E196</f>
        <v/>
      </c>
      <c r="O196" s="6">
        <f>A196</f>
        <v/>
      </c>
      <c r="P196" s="9">
        <f>IF(B$227=0,0,B196/B$227)</f>
        <v/>
      </c>
      <c r="Q196" s="9">
        <f>IF(C$227=0,0,C196/C$227)</f>
        <v/>
      </c>
      <c r="R196" s="9">
        <f>IF(D$227=0,0,D196/D$227)</f>
        <v/>
      </c>
      <c r="S196" s="9">
        <f>IF(E$227=0,0,E196/E$227)</f>
        <v/>
      </c>
      <c r="T196" s="9">
        <f>IF(F$227=0,0,F196/F$227)</f>
        <v/>
      </c>
      <c r="U196" s="9">
        <f>IF(G$227=0,0,G196/G$227)</f>
        <v/>
      </c>
      <c r="V196" s="9">
        <f>IF(H$227=0,0,H196/H$227)</f>
        <v/>
      </c>
      <c r="W196" s="9">
        <f>IF(I$227=0,0,I196/I$227)</f>
        <v/>
      </c>
      <c r="X196" s="9">
        <f>IF(J$227=0,0,J196/J$227)</f>
        <v/>
      </c>
      <c r="Y196" s="9">
        <f>IF(K$227=0,0,K196/K$227)</f>
        <v/>
      </c>
      <c r="Z196" s="9">
        <f>IF(L$227=0,0,L196/L$227)</f>
        <v/>
      </c>
      <c r="AA196" s="9">
        <f>IF(M$227=0,0,M196/M$227)</f>
        <v/>
      </c>
      <c r="AB196" s="9">
        <f>AVERAGE(P196,Q196,S196)</f>
        <v/>
      </c>
    </row>
    <row r="197">
      <c r="A197" s="6">
        <f>'3_TF'!A197</f>
        <v/>
      </c>
      <c r="B197" s="9">
        <f>'3_TF'!B197*'4_IDF'!$E197</f>
        <v/>
      </c>
      <c r="C197" s="9">
        <f>'3_TF'!C197*'4_IDF'!$E197</f>
        <v/>
      </c>
      <c r="D197" s="9">
        <f>'3_TF'!D197*'4_IDF'!$E197</f>
        <v/>
      </c>
      <c r="E197" s="9">
        <f>'3_TF'!E197*'4_IDF'!$E197</f>
        <v/>
      </c>
      <c r="F197" s="9">
        <f>'3_TF'!F197*'4_IDF'!$E197</f>
        <v/>
      </c>
      <c r="G197" s="9">
        <f>'3_TF'!G197*'4_IDF'!$E197</f>
        <v/>
      </c>
      <c r="H197" s="9">
        <f>'3_TF'!H197*'4_IDF'!$E197</f>
        <v/>
      </c>
      <c r="I197" s="9">
        <f>'3_TF'!I197*'4_IDF'!$E197</f>
        <v/>
      </c>
      <c r="J197" s="9">
        <f>'3_TF'!J197*'4_IDF'!$E197</f>
        <v/>
      </c>
      <c r="K197" s="9">
        <f>'3_TF'!K197*'4_IDF'!$E197</f>
        <v/>
      </c>
      <c r="L197" s="9">
        <f>'3_TF'!L197*'4_IDF'!$E197</f>
        <v/>
      </c>
      <c r="M197" s="9">
        <f>'3_TF'!M197*'4_IDF'!$E197</f>
        <v/>
      </c>
      <c r="O197" s="6">
        <f>A197</f>
        <v/>
      </c>
      <c r="P197" s="9">
        <f>IF(B$227=0,0,B197/B$227)</f>
        <v/>
      </c>
      <c r="Q197" s="9">
        <f>IF(C$227=0,0,C197/C$227)</f>
        <v/>
      </c>
      <c r="R197" s="9">
        <f>IF(D$227=0,0,D197/D$227)</f>
        <v/>
      </c>
      <c r="S197" s="9">
        <f>IF(E$227=0,0,E197/E$227)</f>
        <v/>
      </c>
      <c r="T197" s="9">
        <f>IF(F$227=0,0,F197/F$227)</f>
        <v/>
      </c>
      <c r="U197" s="9">
        <f>IF(G$227=0,0,G197/G$227)</f>
        <v/>
      </c>
      <c r="V197" s="9">
        <f>IF(H$227=0,0,H197/H$227)</f>
        <v/>
      </c>
      <c r="W197" s="9">
        <f>IF(I$227=0,0,I197/I$227)</f>
        <v/>
      </c>
      <c r="X197" s="9">
        <f>IF(J$227=0,0,J197/J$227)</f>
        <v/>
      </c>
      <c r="Y197" s="9">
        <f>IF(K$227=0,0,K197/K$227)</f>
        <v/>
      </c>
      <c r="Z197" s="9">
        <f>IF(L$227=0,0,L197/L$227)</f>
        <v/>
      </c>
      <c r="AA197" s="9">
        <f>IF(M$227=0,0,M197/M$227)</f>
        <v/>
      </c>
      <c r="AB197" s="9">
        <f>AVERAGE(P197,Q197,S197)</f>
        <v/>
      </c>
    </row>
    <row r="198">
      <c r="A198" s="6">
        <f>'3_TF'!A198</f>
        <v/>
      </c>
      <c r="B198" s="9">
        <f>'3_TF'!B198*'4_IDF'!$E198</f>
        <v/>
      </c>
      <c r="C198" s="9">
        <f>'3_TF'!C198*'4_IDF'!$E198</f>
        <v/>
      </c>
      <c r="D198" s="9">
        <f>'3_TF'!D198*'4_IDF'!$E198</f>
        <v/>
      </c>
      <c r="E198" s="9">
        <f>'3_TF'!E198*'4_IDF'!$E198</f>
        <v/>
      </c>
      <c r="F198" s="9">
        <f>'3_TF'!F198*'4_IDF'!$E198</f>
        <v/>
      </c>
      <c r="G198" s="9">
        <f>'3_TF'!G198*'4_IDF'!$E198</f>
        <v/>
      </c>
      <c r="H198" s="9">
        <f>'3_TF'!H198*'4_IDF'!$E198</f>
        <v/>
      </c>
      <c r="I198" s="9">
        <f>'3_TF'!I198*'4_IDF'!$E198</f>
        <v/>
      </c>
      <c r="J198" s="9">
        <f>'3_TF'!J198*'4_IDF'!$E198</f>
        <v/>
      </c>
      <c r="K198" s="9">
        <f>'3_TF'!K198*'4_IDF'!$E198</f>
        <v/>
      </c>
      <c r="L198" s="9">
        <f>'3_TF'!L198*'4_IDF'!$E198</f>
        <v/>
      </c>
      <c r="M198" s="9">
        <f>'3_TF'!M198*'4_IDF'!$E198</f>
        <v/>
      </c>
      <c r="O198" s="6">
        <f>A198</f>
        <v/>
      </c>
      <c r="P198" s="9">
        <f>IF(B$227=0,0,B198/B$227)</f>
        <v/>
      </c>
      <c r="Q198" s="9">
        <f>IF(C$227=0,0,C198/C$227)</f>
        <v/>
      </c>
      <c r="R198" s="9">
        <f>IF(D$227=0,0,D198/D$227)</f>
        <v/>
      </c>
      <c r="S198" s="9">
        <f>IF(E$227=0,0,E198/E$227)</f>
        <v/>
      </c>
      <c r="T198" s="9">
        <f>IF(F$227=0,0,F198/F$227)</f>
        <v/>
      </c>
      <c r="U198" s="9">
        <f>IF(G$227=0,0,G198/G$227)</f>
        <v/>
      </c>
      <c r="V198" s="9">
        <f>IF(H$227=0,0,H198/H$227)</f>
        <v/>
      </c>
      <c r="W198" s="9">
        <f>IF(I$227=0,0,I198/I$227)</f>
        <v/>
      </c>
      <c r="X198" s="9">
        <f>IF(J$227=0,0,J198/J$227)</f>
        <v/>
      </c>
      <c r="Y198" s="9">
        <f>IF(K$227=0,0,K198/K$227)</f>
        <v/>
      </c>
      <c r="Z198" s="9">
        <f>IF(L$227=0,0,L198/L$227)</f>
        <v/>
      </c>
      <c r="AA198" s="9">
        <f>IF(M$227=0,0,M198/M$227)</f>
        <v/>
      </c>
      <c r="AB198" s="9">
        <f>AVERAGE(P198,Q198,S198)</f>
        <v/>
      </c>
    </row>
    <row r="199">
      <c r="A199" s="6">
        <f>'3_TF'!A199</f>
        <v/>
      </c>
      <c r="B199" s="9">
        <f>'3_TF'!B199*'4_IDF'!$E199</f>
        <v/>
      </c>
      <c r="C199" s="9">
        <f>'3_TF'!C199*'4_IDF'!$E199</f>
        <v/>
      </c>
      <c r="D199" s="9">
        <f>'3_TF'!D199*'4_IDF'!$E199</f>
        <v/>
      </c>
      <c r="E199" s="9">
        <f>'3_TF'!E199*'4_IDF'!$E199</f>
        <v/>
      </c>
      <c r="F199" s="9">
        <f>'3_TF'!F199*'4_IDF'!$E199</f>
        <v/>
      </c>
      <c r="G199" s="9">
        <f>'3_TF'!G199*'4_IDF'!$E199</f>
        <v/>
      </c>
      <c r="H199" s="9">
        <f>'3_TF'!H199*'4_IDF'!$E199</f>
        <v/>
      </c>
      <c r="I199" s="9">
        <f>'3_TF'!I199*'4_IDF'!$E199</f>
        <v/>
      </c>
      <c r="J199" s="9">
        <f>'3_TF'!J199*'4_IDF'!$E199</f>
        <v/>
      </c>
      <c r="K199" s="9">
        <f>'3_TF'!K199*'4_IDF'!$E199</f>
        <v/>
      </c>
      <c r="L199" s="9">
        <f>'3_TF'!L199*'4_IDF'!$E199</f>
        <v/>
      </c>
      <c r="M199" s="9">
        <f>'3_TF'!M199*'4_IDF'!$E199</f>
        <v/>
      </c>
      <c r="O199" s="6">
        <f>A199</f>
        <v/>
      </c>
      <c r="P199" s="9">
        <f>IF(B$227=0,0,B199/B$227)</f>
        <v/>
      </c>
      <c r="Q199" s="9">
        <f>IF(C$227=0,0,C199/C$227)</f>
        <v/>
      </c>
      <c r="R199" s="9">
        <f>IF(D$227=0,0,D199/D$227)</f>
        <v/>
      </c>
      <c r="S199" s="9">
        <f>IF(E$227=0,0,E199/E$227)</f>
        <v/>
      </c>
      <c r="T199" s="9">
        <f>IF(F$227=0,0,F199/F$227)</f>
        <v/>
      </c>
      <c r="U199" s="9">
        <f>IF(G$227=0,0,G199/G$227)</f>
        <v/>
      </c>
      <c r="V199" s="9">
        <f>IF(H$227=0,0,H199/H$227)</f>
        <v/>
      </c>
      <c r="W199" s="9">
        <f>IF(I$227=0,0,I199/I$227)</f>
        <v/>
      </c>
      <c r="X199" s="9">
        <f>IF(J$227=0,0,J199/J$227)</f>
        <v/>
      </c>
      <c r="Y199" s="9">
        <f>IF(K$227=0,0,K199/K$227)</f>
        <v/>
      </c>
      <c r="Z199" s="9">
        <f>IF(L$227=0,0,L199/L$227)</f>
        <v/>
      </c>
      <c r="AA199" s="9">
        <f>IF(M$227=0,0,M199/M$227)</f>
        <v/>
      </c>
      <c r="AB199" s="9">
        <f>AVERAGE(P199,Q199,S199)</f>
        <v/>
      </c>
    </row>
    <row r="200">
      <c r="A200" s="6">
        <f>'3_TF'!A200</f>
        <v/>
      </c>
      <c r="B200" s="9">
        <f>'3_TF'!B200*'4_IDF'!$E200</f>
        <v/>
      </c>
      <c r="C200" s="9">
        <f>'3_TF'!C200*'4_IDF'!$E200</f>
        <v/>
      </c>
      <c r="D200" s="9">
        <f>'3_TF'!D200*'4_IDF'!$E200</f>
        <v/>
      </c>
      <c r="E200" s="9">
        <f>'3_TF'!E200*'4_IDF'!$E200</f>
        <v/>
      </c>
      <c r="F200" s="9">
        <f>'3_TF'!F200*'4_IDF'!$E200</f>
        <v/>
      </c>
      <c r="G200" s="9">
        <f>'3_TF'!G200*'4_IDF'!$E200</f>
        <v/>
      </c>
      <c r="H200" s="9">
        <f>'3_TF'!H200*'4_IDF'!$E200</f>
        <v/>
      </c>
      <c r="I200" s="9">
        <f>'3_TF'!I200*'4_IDF'!$E200</f>
        <v/>
      </c>
      <c r="J200" s="9">
        <f>'3_TF'!J200*'4_IDF'!$E200</f>
        <v/>
      </c>
      <c r="K200" s="9">
        <f>'3_TF'!K200*'4_IDF'!$E200</f>
        <v/>
      </c>
      <c r="L200" s="9">
        <f>'3_TF'!L200*'4_IDF'!$E200</f>
        <v/>
      </c>
      <c r="M200" s="9">
        <f>'3_TF'!M200*'4_IDF'!$E200</f>
        <v/>
      </c>
      <c r="O200" s="6">
        <f>A200</f>
        <v/>
      </c>
      <c r="P200" s="9">
        <f>IF(B$227=0,0,B200/B$227)</f>
        <v/>
      </c>
      <c r="Q200" s="9">
        <f>IF(C$227=0,0,C200/C$227)</f>
        <v/>
      </c>
      <c r="R200" s="9">
        <f>IF(D$227=0,0,D200/D$227)</f>
        <v/>
      </c>
      <c r="S200" s="9">
        <f>IF(E$227=0,0,E200/E$227)</f>
        <v/>
      </c>
      <c r="T200" s="9">
        <f>IF(F$227=0,0,F200/F$227)</f>
        <v/>
      </c>
      <c r="U200" s="9">
        <f>IF(G$227=0,0,G200/G$227)</f>
        <v/>
      </c>
      <c r="V200" s="9">
        <f>IF(H$227=0,0,H200/H$227)</f>
        <v/>
      </c>
      <c r="W200" s="9">
        <f>IF(I$227=0,0,I200/I$227)</f>
        <v/>
      </c>
      <c r="X200" s="9">
        <f>IF(J$227=0,0,J200/J$227)</f>
        <v/>
      </c>
      <c r="Y200" s="9">
        <f>IF(K$227=0,0,K200/K$227)</f>
        <v/>
      </c>
      <c r="Z200" s="9">
        <f>IF(L$227=0,0,L200/L$227)</f>
        <v/>
      </c>
      <c r="AA200" s="9">
        <f>IF(M$227=0,0,M200/M$227)</f>
        <v/>
      </c>
      <c r="AB200" s="9">
        <f>AVERAGE(P200,Q200,S200)</f>
        <v/>
      </c>
    </row>
    <row r="201">
      <c r="A201" s="6">
        <f>'3_TF'!A201</f>
        <v/>
      </c>
      <c r="B201" s="9">
        <f>'3_TF'!B201*'4_IDF'!$E201</f>
        <v/>
      </c>
      <c r="C201" s="9">
        <f>'3_TF'!C201*'4_IDF'!$E201</f>
        <v/>
      </c>
      <c r="D201" s="9">
        <f>'3_TF'!D201*'4_IDF'!$E201</f>
        <v/>
      </c>
      <c r="E201" s="9">
        <f>'3_TF'!E201*'4_IDF'!$E201</f>
        <v/>
      </c>
      <c r="F201" s="9">
        <f>'3_TF'!F201*'4_IDF'!$E201</f>
        <v/>
      </c>
      <c r="G201" s="9">
        <f>'3_TF'!G201*'4_IDF'!$E201</f>
        <v/>
      </c>
      <c r="H201" s="9">
        <f>'3_TF'!H201*'4_IDF'!$E201</f>
        <v/>
      </c>
      <c r="I201" s="9">
        <f>'3_TF'!I201*'4_IDF'!$E201</f>
        <v/>
      </c>
      <c r="J201" s="9">
        <f>'3_TF'!J201*'4_IDF'!$E201</f>
        <v/>
      </c>
      <c r="K201" s="9">
        <f>'3_TF'!K201*'4_IDF'!$E201</f>
        <v/>
      </c>
      <c r="L201" s="9">
        <f>'3_TF'!L201*'4_IDF'!$E201</f>
        <v/>
      </c>
      <c r="M201" s="9">
        <f>'3_TF'!M201*'4_IDF'!$E201</f>
        <v/>
      </c>
      <c r="O201" s="6">
        <f>A201</f>
        <v/>
      </c>
      <c r="P201" s="9">
        <f>IF(B$227=0,0,B201/B$227)</f>
        <v/>
      </c>
      <c r="Q201" s="9">
        <f>IF(C$227=0,0,C201/C$227)</f>
        <v/>
      </c>
      <c r="R201" s="9">
        <f>IF(D$227=0,0,D201/D$227)</f>
        <v/>
      </c>
      <c r="S201" s="9">
        <f>IF(E$227=0,0,E201/E$227)</f>
        <v/>
      </c>
      <c r="T201" s="9">
        <f>IF(F$227=0,0,F201/F$227)</f>
        <v/>
      </c>
      <c r="U201" s="9">
        <f>IF(G$227=0,0,G201/G$227)</f>
        <v/>
      </c>
      <c r="V201" s="9">
        <f>IF(H$227=0,0,H201/H$227)</f>
        <v/>
      </c>
      <c r="W201" s="9">
        <f>IF(I$227=0,0,I201/I$227)</f>
        <v/>
      </c>
      <c r="X201" s="9">
        <f>IF(J$227=0,0,J201/J$227)</f>
        <v/>
      </c>
      <c r="Y201" s="9">
        <f>IF(K$227=0,0,K201/K$227)</f>
        <v/>
      </c>
      <c r="Z201" s="9">
        <f>IF(L$227=0,0,L201/L$227)</f>
        <v/>
      </c>
      <c r="AA201" s="9">
        <f>IF(M$227=0,0,M201/M$227)</f>
        <v/>
      </c>
      <c r="AB201" s="9">
        <f>AVERAGE(P201,Q201,S201)</f>
        <v/>
      </c>
    </row>
    <row r="202">
      <c r="A202" s="6">
        <f>'3_TF'!A202</f>
        <v/>
      </c>
      <c r="B202" s="9">
        <f>'3_TF'!B202*'4_IDF'!$E202</f>
        <v/>
      </c>
      <c r="C202" s="9">
        <f>'3_TF'!C202*'4_IDF'!$E202</f>
        <v/>
      </c>
      <c r="D202" s="9">
        <f>'3_TF'!D202*'4_IDF'!$E202</f>
        <v/>
      </c>
      <c r="E202" s="9">
        <f>'3_TF'!E202*'4_IDF'!$E202</f>
        <v/>
      </c>
      <c r="F202" s="9">
        <f>'3_TF'!F202*'4_IDF'!$E202</f>
        <v/>
      </c>
      <c r="G202" s="9">
        <f>'3_TF'!G202*'4_IDF'!$E202</f>
        <v/>
      </c>
      <c r="H202" s="9">
        <f>'3_TF'!H202*'4_IDF'!$E202</f>
        <v/>
      </c>
      <c r="I202" s="9">
        <f>'3_TF'!I202*'4_IDF'!$E202</f>
        <v/>
      </c>
      <c r="J202" s="9">
        <f>'3_TF'!J202*'4_IDF'!$E202</f>
        <v/>
      </c>
      <c r="K202" s="9">
        <f>'3_TF'!K202*'4_IDF'!$E202</f>
        <v/>
      </c>
      <c r="L202" s="9">
        <f>'3_TF'!L202*'4_IDF'!$E202</f>
        <v/>
      </c>
      <c r="M202" s="9">
        <f>'3_TF'!M202*'4_IDF'!$E202</f>
        <v/>
      </c>
      <c r="O202" s="6">
        <f>A202</f>
        <v/>
      </c>
      <c r="P202" s="9">
        <f>IF(B$227=0,0,B202/B$227)</f>
        <v/>
      </c>
      <c r="Q202" s="9">
        <f>IF(C$227=0,0,C202/C$227)</f>
        <v/>
      </c>
      <c r="R202" s="9">
        <f>IF(D$227=0,0,D202/D$227)</f>
        <v/>
      </c>
      <c r="S202" s="9">
        <f>IF(E$227=0,0,E202/E$227)</f>
        <v/>
      </c>
      <c r="T202" s="9">
        <f>IF(F$227=0,0,F202/F$227)</f>
        <v/>
      </c>
      <c r="U202" s="9">
        <f>IF(G$227=0,0,G202/G$227)</f>
        <v/>
      </c>
      <c r="V202" s="9">
        <f>IF(H$227=0,0,H202/H$227)</f>
        <v/>
      </c>
      <c r="W202" s="9">
        <f>IF(I$227=0,0,I202/I$227)</f>
        <v/>
      </c>
      <c r="X202" s="9">
        <f>IF(J$227=0,0,J202/J$227)</f>
        <v/>
      </c>
      <c r="Y202" s="9">
        <f>IF(K$227=0,0,K202/K$227)</f>
        <v/>
      </c>
      <c r="Z202" s="9">
        <f>IF(L$227=0,0,L202/L$227)</f>
        <v/>
      </c>
      <c r="AA202" s="9">
        <f>IF(M$227=0,0,M202/M$227)</f>
        <v/>
      </c>
      <c r="AB202" s="9">
        <f>AVERAGE(P202,Q202,S202)</f>
        <v/>
      </c>
    </row>
    <row r="203">
      <c r="A203" s="6">
        <f>'3_TF'!A203</f>
        <v/>
      </c>
      <c r="B203" s="9">
        <f>'3_TF'!B203*'4_IDF'!$E203</f>
        <v/>
      </c>
      <c r="C203" s="9">
        <f>'3_TF'!C203*'4_IDF'!$E203</f>
        <v/>
      </c>
      <c r="D203" s="9">
        <f>'3_TF'!D203*'4_IDF'!$E203</f>
        <v/>
      </c>
      <c r="E203" s="9">
        <f>'3_TF'!E203*'4_IDF'!$E203</f>
        <v/>
      </c>
      <c r="F203" s="9">
        <f>'3_TF'!F203*'4_IDF'!$E203</f>
        <v/>
      </c>
      <c r="G203" s="9">
        <f>'3_TF'!G203*'4_IDF'!$E203</f>
        <v/>
      </c>
      <c r="H203" s="9">
        <f>'3_TF'!H203*'4_IDF'!$E203</f>
        <v/>
      </c>
      <c r="I203" s="9">
        <f>'3_TF'!I203*'4_IDF'!$E203</f>
        <v/>
      </c>
      <c r="J203" s="9">
        <f>'3_TF'!J203*'4_IDF'!$E203</f>
        <v/>
      </c>
      <c r="K203" s="9">
        <f>'3_TF'!K203*'4_IDF'!$E203</f>
        <v/>
      </c>
      <c r="L203" s="9">
        <f>'3_TF'!L203*'4_IDF'!$E203</f>
        <v/>
      </c>
      <c r="M203" s="9">
        <f>'3_TF'!M203*'4_IDF'!$E203</f>
        <v/>
      </c>
      <c r="O203" s="6">
        <f>A203</f>
        <v/>
      </c>
      <c r="P203" s="9">
        <f>IF(B$227=0,0,B203/B$227)</f>
        <v/>
      </c>
      <c r="Q203" s="9">
        <f>IF(C$227=0,0,C203/C$227)</f>
        <v/>
      </c>
      <c r="R203" s="9">
        <f>IF(D$227=0,0,D203/D$227)</f>
        <v/>
      </c>
      <c r="S203" s="9">
        <f>IF(E$227=0,0,E203/E$227)</f>
        <v/>
      </c>
      <c r="T203" s="9">
        <f>IF(F$227=0,0,F203/F$227)</f>
        <v/>
      </c>
      <c r="U203" s="9">
        <f>IF(G$227=0,0,G203/G$227)</f>
        <v/>
      </c>
      <c r="V203" s="9">
        <f>IF(H$227=0,0,H203/H$227)</f>
        <v/>
      </c>
      <c r="W203" s="9">
        <f>IF(I$227=0,0,I203/I$227)</f>
        <v/>
      </c>
      <c r="X203" s="9">
        <f>IF(J$227=0,0,J203/J$227)</f>
        <v/>
      </c>
      <c r="Y203" s="9">
        <f>IF(K$227=0,0,K203/K$227)</f>
        <v/>
      </c>
      <c r="Z203" s="9">
        <f>IF(L$227=0,0,L203/L$227)</f>
        <v/>
      </c>
      <c r="AA203" s="9">
        <f>IF(M$227=0,0,M203/M$227)</f>
        <v/>
      </c>
      <c r="AB203" s="9">
        <f>AVERAGE(P203,Q203,S203)</f>
        <v/>
      </c>
    </row>
    <row r="204">
      <c r="A204" s="6">
        <f>'3_TF'!A204</f>
        <v/>
      </c>
      <c r="B204" s="9">
        <f>'3_TF'!B204*'4_IDF'!$E204</f>
        <v/>
      </c>
      <c r="C204" s="9">
        <f>'3_TF'!C204*'4_IDF'!$E204</f>
        <v/>
      </c>
      <c r="D204" s="9">
        <f>'3_TF'!D204*'4_IDF'!$E204</f>
        <v/>
      </c>
      <c r="E204" s="9">
        <f>'3_TF'!E204*'4_IDF'!$E204</f>
        <v/>
      </c>
      <c r="F204" s="9">
        <f>'3_TF'!F204*'4_IDF'!$E204</f>
        <v/>
      </c>
      <c r="G204" s="9">
        <f>'3_TF'!G204*'4_IDF'!$E204</f>
        <v/>
      </c>
      <c r="H204" s="9">
        <f>'3_TF'!H204*'4_IDF'!$E204</f>
        <v/>
      </c>
      <c r="I204" s="9">
        <f>'3_TF'!I204*'4_IDF'!$E204</f>
        <v/>
      </c>
      <c r="J204" s="9">
        <f>'3_TF'!J204*'4_IDF'!$E204</f>
        <v/>
      </c>
      <c r="K204" s="9">
        <f>'3_TF'!K204*'4_IDF'!$E204</f>
        <v/>
      </c>
      <c r="L204" s="9">
        <f>'3_TF'!L204*'4_IDF'!$E204</f>
        <v/>
      </c>
      <c r="M204" s="9">
        <f>'3_TF'!M204*'4_IDF'!$E204</f>
        <v/>
      </c>
      <c r="O204" s="6">
        <f>A204</f>
        <v/>
      </c>
      <c r="P204" s="9">
        <f>IF(B$227=0,0,B204/B$227)</f>
        <v/>
      </c>
      <c r="Q204" s="9">
        <f>IF(C$227=0,0,C204/C$227)</f>
        <v/>
      </c>
      <c r="R204" s="9">
        <f>IF(D$227=0,0,D204/D$227)</f>
        <v/>
      </c>
      <c r="S204" s="9">
        <f>IF(E$227=0,0,E204/E$227)</f>
        <v/>
      </c>
      <c r="T204" s="9">
        <f>IF(F$227=0,0,F204/F$227)</f>
        <v/>
      </c>
      <c r="U204" s="9">
        <f>IF(G$227=0,0,G204/G$227)</f>
        <v/>
      </c>
      <c r="V204" s="9">
        <f>IF(H$227=0,0,H204/H$227)</f>
        <v/>
      </c>
      <c r="W204" s="9">
        <f>IF(I$227=0,0,I204/I$227)</f>
        <v/>
      </c>
      <c r="X204" s="9">
        <f>IF(J$227=0,0,J204/J$227)</f>
        <v/>
      </c>
      <c r="Y204" s="9">
        <f>IF(K$227=0,0,K204/K$227)</f>
        <v/>
      </c>
      <c r="Z204" s="9">
        <f>IF(L$227=0,0,L204/L$227)</f>
        <v/>
      </c>
      <c r="AA204" s="9">
        <f>IF(M$227=0,0,M204/M$227)</f>
        <v/>
      </c>
      <c r="AB204" s="9">
        <f>AVERAGE(P204,Q204,S204)</f>
        <v/>
      </c>
    </row>
    <row r="205">
      <c r="A205" s="6">
        <f>'3_TF'!A205</f>
        <v/>
      </c>
      <c r="B205" s="9">
        <f>'3_TF'!B205*'4_IDF'!$E205</f>
        <v/>
      </c>
      <c r="C205" s="9">
        <f>'3_TF'!C205*'4_IDF'!$E205</f>
        <v/>
      </c>
      <c r="D205" s="9">
        <f>'3_TF'!D205*'4_IDF'!$E205</f>
        <v/>
      </c>
      <c r="E205" s="9">
        <f>'3_TF'!E205*'4_IDF'!$E205</f>
        <v/>
      </c>
      <c r="F205" s="9">
        <f>'3_TF'!F205*'4_IDF'!$E205</f>
        <v/>
      </c>
      <c r="G205" s="9">
        <f>'3_TF'!G205*'4_IDF'!$E205</f>
        <v/>
      </c>
      <c r="H205" s="9">
        <f>'3_TF'!H205*'4_IDF'!$E205</f>
        <v/>
      </c>
      <c r="I205" s="9">
        <f>'3_TF'!I205*'4_IDF'!$E205</f>
        <v/>
      </c>
      <c r="J205" s="9">
        <f>'3_TF'!J205*'4_IDF'!$E205</f>
        <v/>
      </c>
      <c r="K205" s="9">
        <f>'3_TF'!K205*'4_IDF'!$E205</f>
        <v/>
      </c>
      <c r="L205" s="9">
        <f>'3_TF'!L205*'4_IDF'!$E205</f>
        <v/>
      </c>
      <c r="M205" s="9">
        <f>'3_TF'!M205*'4_IDF'!$E205</f>
        <v/>
      </c>
      <c r="O205" s="6">
        <f>A205</f>
        <v/>
      </c>
      <c r="P205" s="9">
        <f>IF(B$227=0,0,B205/B$227)</f>
        <v/>
      </c>
      <c r="Q205" s="9">
        <f>IF(C$227=0,0,C205/C$227)</f>
        <v/>
      </c>
      <c r="R205" s="9">
        <f>IF(D$227=0,0,D205/D$227)</f>
        <v/>
      </c>
      <c r="S205" s="9">
        <f>IF(E$227=0,0,E205/E$227)</f>
        <v/>
      </c>
      <c r="T205" s="9">
        <f>IF(F$227=0,0,F205/F$227)</f>
        <v/>
      </c>
      <c r="U205" s="9">
        <f>IF(G$227=0,0,G205/G$227)</f>
        <v/>
      </c>
      <c r="V205" s="9">
        <f>IF(H$227=0,0,H205/H$227)</f>
        <v/>
      </c>
      <c r="W205" s="9">
        <f>IF(I$227=0,0,I205/I$227)</f>
        <v/>
      </c>
      <c r="X205" s="9">
        <f>IF(J$227=0,0,J205/J$227)</f>
        <v/>
      </c>
      <c r="Y205" s="9">
        <f>IF(K$227=0,0,K205/K$227)</f>
        <v/>
      </c>
      <c r="Z205" s="9">
        <f>IF(L$227=0,0,L205/L$227)</f>
        <v/>
      </c>
      <c r="AA205" s="9">
        <f>IF(M$227=0,0,M205/M$227)</f>
        <v/>
      </c>
      <c r="AB205" s="9">
        <f>AVERAGE(P205,Q205,S205)</f>
        <v/>
      </c>
    </row>
    <row r="206">
      <c r="A206" s="6">
        <f>'3_TF'!A206</f>
        <v/>
      </c>
      <c r="B206" s="9">
        <f>'3_TF'!B206*'4_IDF'!$E206</f>
        <v/>
      </c>
      <c r="C206" s="9">
        <f>'3_TF'!C206*'4_IDF'!$E206</f>
        <v/>
      </c>
      <c r="D206" s="9">
        <f>'3_TF'!D206*'4_IDF'!$E206</f>
        <v/>
      </c>
      <c r="E206" s="9">
        <f>'3_TF'!E206*'4_IDF'!$E206</f>
        <v/>
      </c>
      <c r="F206" s="9">
        <f>'3_TF'!F206*'4_IDF'!$E206</f>
        <v/>
      </c>
      <c r="G206" s="9">
        <f>'3_TF'!G206*'4_IDF'!$E206</f>
        <v/>
      </c>
      <c r="H206" s="9">
        <f>'3_TF'!H206*'4_IDF'!$E206</f>
        <v/>
      </c>
      <c r="I206" s="9">
        <f>'3_TF'!I206*'4_IDF'!$E206</f>
        <v/>
      </c>
      <c r="J206" s="9">
        <f>'3_TF'!J206*'4_IDF'!$E206</f>
        <v/>
      </c>
      <c r="K206" s="9">
        <f>'3_TF'!K206*'4_IDF'!$E206</f>
        <v/>
      </c>
      <c r="L206" s="9">
        <f>'3_TF'!L206*'4_IDF'!$E206</f>
        <v/>
      </c>
      <c r="M206" s="9">
        <f>'3_TF'!M206*'4_IDF'!$E206</f>
        <v/>
      </c>
      <c r="O206" s="6">
        <f>A206</f>
        <v/>
      </c>
      <c r="P206" s="9">
        <f>IF(B$227=0,0,B206/B$227)</f>
        <v/>
      </c>
      <c r="Q206" s="9">
        <f>IF(C$227=0,0,C206/C$227)</f>
        <v/>
      </c>
      <c r="R206" s="9">
        <f>IF(D$227=0,0,D206/D$227)</f>
        <v/>
      </c>
      <c r="S206" s="9">
        <f>IF(E$227=0,0,E206/E$227)</f>
        <v/>
      </c>
      <c r="T206" s="9">
        <f>IF(F$227=0,0,F206/F$227)</f>
        <v/>
      </c>
      <c r="U206" s="9">
        <f>IF(G$227=0,0,G206/G$227)</f>
        <v/>
      </c>
      <c r="V206" s="9">
        <f>IF(H$227=0,0,H206/H$227)</f>
        <v/>
      </c>
      <c r="W206" s="9">
        <f>IF(I$227=0,0,I206/I$227)</f>
        <v/>
      </c>
      <c r="X206" s="9">
        <f>IF(J$227=0,0,J206/J$227)</f>
        <v/>
      </c>
      <c r="Y206" s="9">
        <f>IF(K$227=0,0,K206/K$227)</f>
        <v/>
      </c>
      <c r="Z206" s="9">
        <f>IF(L$227=0,0,L206/L$227)</f>
        <v/>
      </c>
      <c r="AA206" s="9">
        <f>IF(M$227=0,0,M206/M$227)</f>
        <v/>
      </c>
      <c r="AB206" s="9">
        <f>AVERAGE(P206,Q206,S206)</f>
        <v/>
      </c>
    </row>
    <row r="207">
      <c r="A207" s="6">
        <f>'3_TF'!A207</f>
        <v/>
      </c>
      <c r="B207" s="9">
        <f>'3_TF'!B207*'4_IDF'!$E207</f>
        <v/>
      </c>
      <c r="C207" s="9">
        <f>'3_TF'!C207*'4_IDF'!$E207</f>
        <v/>
      </c>
      <c r="D207" s="9">
        <f>'3_TF'!D207*'4_IDF'!$E207</f>
        <v/>
      </c>
      <c r="E207" s="9">
        <f>'3_TF'!E207*'4_IDF'!$E207</f>
        <v/>
      </c>
      <c r="F207" s="9">
        <f>'3_TF'!F207*'4_IDF'!$E207</f>
        <v/>
      </c>
      <c r="G207" s="9">
        <f>'3_TF'!G207*'4_IDF'!$E207</f>
        <v/>
      </c>
      <c r="H207" s="9">
        <f>'3_TF'!H207*'4_IDF'!$E207</f>
        <v/>
      </c>
      <c r="I207" s="9">
        <f>'3_TF'!I207*'4_IDF'!$E207</f>
        <v/>
      </c>
      <c r="J207" s="9">
        <f>'3_TF'!J207*'4_IDF'!$E207</f>
        <v/>
      </c>
      <c r="K207" s="9">
        <f>'3_TF'!K207*'4_IDF'!$E207</f>
        <v/>
      </c>
      <c r="L207" s="9">
        <f>'3_TF'!L207*'4_IDF'!$E207</f>
        <v/>
      </c>
      <c r="M207" s="9">
        <f>'3_TF'!M207*'4_IDF'!$E207</f>
        <v/>
      </c>
      <c r="O207" s="6">
        <f>A207</f>
        <v/>
      </c>
      <c r="P207" s="9">
        <f>IF(B$227=0,0,B207/B$227)</f>
        <v/>
      </c>
      <c r="Q207" s="9">
        <f>IF(C$227=0,0,C207/C$227)</f>
        <v/>
      </c>
      <c r="R207" s="9">
        <f>IF(D$227=0,0,D207/D$227)</f>
        <v/>
      </c>
      <c r="S207" s="9">
        <f>IF(E$227=0,0,E207/E$227)</f>
        <v/>
      </c>
      <c r="T207" s="9">
        <f>IF(F$227=0,0,F207/F$227)</f>
        <v/>
      </c>
      <c r="U207" s="9">
        <f>IF(G$227=0,0,G207/G$227)</f>
        <v/>
      </c>
      <c r="V207" s="9">
        <f>IF(H$227=0,0,H207/H$227)</f>
        <v/>
      </c>
      <c r="W207" s="9">
        <f>IF(I$227=0,0,I207/I$227)</f>
        <v/>
      </c>
      <c r="X207" s="9">
        <f>IF(J$227=0,0,J207/J$227)</f>
        <v/>
      </c>
      <c r="Y207" s="9">
        <f>IF(K$227=0,0,K207/K$227)</f>
        <v/>
      </c>
      <c r="Z207" s="9">
        <f>IF(L$227=0,0,L207/L$227)</f>
        <v/>
      </c>
      <c r="AA207" s="9">
        <f>IF(M$227=0,0,M207/M$227)</f>
        <v/>
      </c>
      <c r="AB207" s="9">
        <f>AVERAGE(P207,Q207,S207)</f>
        <v/>
      </c>
    </row>
    <row r="208">
      <c r="A208" s="6">
        <f>'3_TF'!A208</f>
        <v/>
      </c>
      <c r="B208" s="9">
        <f>'3_TF'!B208*'4_IDF'!$E208</f>
        <v/>
      </c>
      <c r="C208" s="9">
        <f>'3_TF'!C208*'4_IDF'!$E208</f>
        <v/>
      </c>
      <c r="D208" s="9">
        <f>'3_TF'!D208*'4_IDF'!$E208</f>
        <v/>
      </c>
      <c r="E208" s="9">
        <f>'3_TF'!E208*'4_IDF'!$E208</f>
        <v/>
      </c>
      <c r="F208" s="9">
        <f>'3_TF'!F208*'4_IDF'!$E208</f>
        <v/>
      </c>
      <c r="G208" s="9">
        <f>'3_TF'!G208*'4_IDF'!$E208</f>
        <v/>
      </c>
      <c r="H208" s="9">
        <f>'3_TF'!H208*'4_IDF'!$E208</f>
        <v/>
      </c>
      <c r="I208" s="9">
        <f>'3_TF'!I208*'4_IDF'!$E208</f>
        <v/>
      </c>
      <c r="J208" s="9">
        <f>'3_TF'!J208*'4_IDF'!$E208</f>
        <v/>
      </c>
      <c r="K208" s="9">
        <f>'3_TF'!K208*'4_IDF'!$E208</f>
        <v/>
      </c>
      <c r="L208" s="9">
        <f>'3_TF'!L208*'4_IDF'!$E208</f>
        <v/>
      </c>
      <c r="M208" s="9">
        <f>'3_TF'!M208*'4_IDF'!$E208</f>
        <v/>
      </c>
      <c r="O208" s="6">
        <f>A208</f>
        <v/>
      </c>
      <c r="P208" s="9">
        <f>IF(B$227=0,0,B208/B$227)</f>
        <v/>
      </c>
      <c r="Q208" s="9">
        <f>IF(C$227=0,0,C208/C$227)</f>
        <v/>
      </c>
      <c r="R208" s="9">
        <f>IF(D$227=0,0,D208/D$227)</f>
        <v/>
      </c>
      <c r="S208" s="9">
        <f>IF(E$227=0,0,E208/E$227)</f>
        <v/>
      </c>
      <c r="T208" s="9">
        <f>IF(F$227=0,0,F208/F$227)</f>
        <v/>
      </c>
      <c r="U208" s="9">
        <f>IF(G$227=0,0,G208/G$227)</f>
        <v/>
      </c>
      <c r="V208" s="9">
        <f>IF(H$227=0,0,H208/H$227)</f>
        <v/>
      </c>
      <c r="W208" s="9">
        <f>IF(I$227=0,0,I208/I$227)</f>
        <v/>
      </c>
      <c r="X208" s="9">
        <f>IF(J$227=0,0,J208/J$227)</f>
        <v/>
      </c>
      <c r="Y208" s="9">
        <f>IF(K$227=0,0,K208/K$227)</f>
        <v/>
      </c>
      <c r="Z208" s="9">
        <f>IF(L$227=0,0,L208/L$227)</f>
        <v/>
      </c>
      <c r="AA208" s="9">
        <f>IF(M$227=0,0,M208/M$227)</f>
        <v/>
      </c>
      <c r="AB208" s="9">
        <f>AVERAGE(P208,Q208,S208)</f>
        <v/>
      </c>
    </row>
    <row r="209">
      <c r="A209" s="6">
        <f>'3_TF'!A209</f>
        <v/>
      </c>
      <c r="B209" s="9">
        <f>'3_TF'!B209*'4_IDF'!$E209</f>
        <v/>
      </c>
      <c r="C209" s="9">
        <f>'3_TF'!C209*'4_IDF'!$E209</f>
        <v/>
      </c>
      <c r="D209" s="9">
        <f>'3_TF'!D209*'4_IDF'!$E209</f>
        <v/>
      </c>
      <c r="E209" s="9">
        <f>'3_TF'!E209*'4_IDF'!$E209</f>
        <v/>
      </c>
      <c r="F209" s="9">
        <f>'3_TF'!F209*'4_IDF'!$E209</f>
        <v/>
      </c>
      <c r="G209" s="9">
        <f>'3_TF'!G209*'4_IDF'!$E209</f>
        <v/>
      </c>
      <c r="H209" s="9">
        <f>'3_TF'!H209*'4_IDF'!$E209</f>
        <v/>
      </c>
      <c r="I209" s="9">
        <f>'3_TF'!I209*'4_IDF'!$E209</f>
        <v/>
      </c>
      <c r="J209" s="9">
        <f>'3_TF'!J209*'4_IDF'!$E209</f>
        <v/>
      </c>
      <c r="K209" s="9">
        <f>'3_TF'!K209*'4_IDF'!$E209</f>
        <v/>
      </c>
      <c r="L209" s="9">
        <f>'3_TF'!L209*'4_IDF'!$E209</f>
        <v/>
      </c>
      <c r="M209" s="9">
        <f>'3_TF'!M209*'4_IDF'!$E209</f>
        <v/>
      </c>
      <c r="O209" s="6">
        <f>A209</f>
        <v/>
      </c>
      <c r="P209" s="9">
        <f>IF(B$227=0,0,B209/B$227)</f>
        <v/>
      </c>
      <c r="Q209" s="9">
        <f>IF(C$227=0,0,C209/C$227)</f>
        <v/>
      </c>
      <c r="R209" s="9">
        <f>IF(D$227=0,0,D209/D$227)</f>
        <v/>
      </c>
      <c r="S209" s="9">
        <f>IF(E$227=0,0,E209/E$227)</f>
        <v/>
      </c>
      <c r="T209" s="9">
        <f>IF(F$227=0,0,F209/F$227)</f>
        <v/>
      </c>
      <c r="U209" s="9">
        <f>IF(G$227=0,0,G209/G$227)</f>
        <v/>
      </c>
      <c r="V209" s="9">
        <f>IF(H$227=0,0,H209/H$227)</f>
        <v/>
      </c>
      <c r="W209" s="9">
        <f>IF(I$227=0,0,I209/I$227)</f>
        <v/>
      </c>
      <c r="X209" s="9">
        <f>IF(J$227=0,0,J209/J$227)</f>
        <v/>
      </c>
      <c r="Y209" s="9">
        <f>IF(K$227=0,0,K209/K$227)</f>
        <v/>
      </c>
      <c r="Z209" s="9">
        <f>IF(L$227=0,0,L209/L$227)</f>
        <v/>
      </c>
      <c r="AA209" s="9">
        <f>IF(M$227=0,0,M209/M$227)</f>
        <v/>
      </c>
      <c r="AB209" s="9">
        <f>AVERAGE(P209,Q209,S209)</f>
        <v/>
      </c>
    </row>
    <row r="210">
      <c r="A210" s="6">
        <f>'3_TF'!A210</f>
        <v/>
      </c>
      <c r="B210" s="9">
        <f>'3_TF'!B210*'4_IDF'!$E210</f>
        <v/>
      </c>
      <c r="C210" s="9">
        <f>'3_TF'!C210*'4_IDF'!$E210</f>
        <v/>
      </c>
      <c r="D210" s="9">
        <f>'3_TF'!D210*'4_IDF'!$E210</f>
        <v/>
      </c>
      <c r="E210" s="9">
        <f>'3_TF'!E210*'4_IDF'!$E210</f>
        <v/>
      </c>
      <c r="F210" s="9">
        <f>'3_TF'!F210*'4_IDF'!$E210</f>
        <v/>
      </c>
      <c r="G210" s="9">
        <f>'3_TF'!G210*'4_IDF'!$E210</f>
        <v/>
      </c>
      <c r="H210" s="9">
        <f>'3_TF'!H210*'4_IDF'!$E210</f>
        <v/>
      </c>
      <c r="I210" s="9">
        <f>'3_TF'!I210*'4_IDF'!$E210</f>
        <v/>
      </c>
      <c r="J210" s="9">
        <f>'3_TF'!J210*'4_IDF'!$E210</f>
        <v/>
      </c>
      <c r="K210" s="9">
        <f>'3_TF'!K210*'4_IDF'!$E210</f>
        <v/>
      </c>
      <c r="L210" s="9">
        <f>'3_TF'!L210*'4_IDF'!$E210</f>
        <v/>
      </c>
      <c r="M210" s="9">
        <f>'3_TF'!M210*'4_IDF'!$E210</f>
        <v/>
      </c>
      <c r="O210" s="6">
        <f>A210</f>
        <v/>
      </c>
      <c r="P210" s="9">
        <f>IF(B$227=0,0,B210/B$227)</f>
        <v/>
      </c>
      <c r="Q210" s="9">
        <f>IF(C$227=0,0,C210/C$227)</f>
        <v/>
      </c>
      <c r="R210" s="9">
        <f>IF(D$227=0,0,D210/D$227)</f>
        <v/>
      </c>
      <c r="S210" s="9">
        <f>IF(E$227=0,0,E210/E$227)</f>
        <v/>
      </c>
      <c r="T210" s="9">
        <f>IF(F$227=0,0,F210/F$227)</f>
        <v/>
      </c>
      <c r="U210" s="9">
        <f>IF(G$227=0,0,G210/G$227)</f>
        <v/>
      </c>
      <c r="V210" s="9">
        <f>IF(H$227=0,0,H210/H$227)</f>
        <v/>
      </c>
      <c r="W210" s="9">
        <f>IF(I$227=0,0,I210/I$227)</f>
        <v/>
      </c>
      <c r="X210" s="9">
        <f>IF(J$227=0,0,J210/J$227)</f>
        <v/>
      </c>
      <c r="Y210" s="9">
        <f>IF(K$227=0,0,K210/K$227)</f>
        <v/>
      </c>
      <c r="Z210" s="9">
        <f>IF(L$227=0,0,L210/L$227)</f>
        <v/>
      </c>
      <c r="AA210" s="9">
        <f>IF(M$227=0,0,M210/M$227)</f>
        <v/>
      </c>
      <c r="AB210" s="9">
        <f>AVERAGE(P210,Q210,S210)</f>
        <v/>
      </c>
    </row>
    <row r="211">
      <c r="A211" s="6">
        <f>'3_TF'!A211</f>
        <v/>
      </c>
      <c r="B211" s="9">
        <f>'3_TF'!B211*'4_IDF'!$E211</f>
        <v/>
      </c>
      <c r="C211" s="9">
        <f>'3_TF'!C211*'4_IDF'!$E211</f>
        <v/>
      </c>
      <c r="D211" s="9">
        <f>'3_TF'!D211*'4_IDF'!$E211</f>
        <v/>
      </c>
      <c r="E211" s="9">
        <f>'3_TF'!E211*'4_IDF'!$E211</f>
        <v/>
      </c>
      <c r="F211" s="9">
        <f>'3_TF'!F211*'4_IDF'!$E211</f>
        <v/>
      </c>
      <c r="G211" s="9">
        <f>'3_TF'!G211*'4_IDF'!$E211</f>
        <v/>
      </c>
      <c r="H211" s="9">
        <f>'3_TF'!H211*'4_IDF'!$E211</f>
        <v/>
      </c>
      <c r="I211" s="9">
        <f>'3_TF'!I211*'4_IDF'!$E211</f>
        <v/>
      </c>
      <c r="J211" s="9">
        <f>'3_TF'!J211*'4_IDF'!$E211</f>
        <v/>
      </c>
      <c r="K211" s="9">
        <f>'3_TF'!K211*'4_IDF'!$E211</f>
        <v/>
      </c>
      <c r="L211" s="9">
        <f>'3_TF'!L211*'4_IDF'!$E211</f>
        <v/>
      </c>
      <c r="M211" s="9">
        <f>'3_TF'!M211*'4_IDF'!$E211</f>
        <v/>
      </c>
      <c r="O211" s="6">
        <f>A211</f>
        <v/>
      </c>
      <c r="P211" s="9">
        <f>IF(B$227=0,0,B211/B$227)</f>
        <v/>
      </c>
      <c r="Q211" s="9">
        <f>IF(C$227=0,0,C211/C$227)</f>
        <v/>
      </c>
      <c r="R211" s="9">
        <f>IF(D$227=0,0,D211/D$227)</f>
        <v/>
      </c>
      <c r="S211" s="9">
        <f>IF(E$227=0,0,E211/E$227)</f>
        <v/>
      </c>
      <c r="T211" s="9">
        <f>IF(F$227=0,0,F211/F$227)</f>
        <v/>
      </c>
      <c r="U211" s="9">
        <f>IF(G$227=0,0,G211/G$227)</f>
        <v/>
      </c>
      <c r="V211" s="9">
        <f>IF(H$227=0,0,H211/H$227)</f>
        <v/>
      </c>
      <c r="W211" s="9">
        <f>IF(I$227=0,0,I211/I$227)</f>
        <v/>
      </c>
      <c r="X211" s="9">
        <f>IF(J$227=0,0,J211/J$227)</f>
        <v/>
      </c>
      <c r="Y211" s="9">
        <f>IF(K$227=0,0,K211/K$227)</f>
        <v/>
      </c>
      <c r="Z211" s="9">
        <f>IF(L$227=0,0,L211/L$227)</f>
        <v/>
      </c>
      <c r="AA211" s="9">
        <f>IF(M$227=0,0,M211/M$227)</f>
        <v/>
      </c>
      <c r="AB211" s="9">
        <f>AVERAGE(P211,Q211,S211)</f>
        <v/>
      </c>
    </row>
    <row r="212">
      <c r="A212" s="6">
        <f>'3_TF'!A212</f>
        <v/>
      </c>
      <c r="B212" s="9">
        <f>'3_TF'!B212*'4_IDF'!$E212</f>
        <v/>
      </c>
      <c r="C212" s="9">
        <f>'3_TF'!C212*'4_IDF'!$E212</f>
        <v/>
      </c>
      <c r="D212" s="9">
        <f>'3_TF'!D212*'4_IDF'!$E212</f>
        <v/>
      </c>
      <c r="E212" s="9">
        <f>'3_TF'!E212*'4_IDF'!$E212</f>
        <v/>
      </c>
      <c r="F212" s="9">
        <f>'3_TF'!F212*'4_IDF'!$E212</f>
        <v/>
      </c>
      <c r="G212" s="9">
        <f>'3_TF'!G212*'4_IDF'!$E212</f>
        <v/>
      </c>
      <c r="H212" s="9">
        <f>'3_TF'!H212*'4_IDF'!$E212</f>
        <v/>
      </c>
      <c r="I212" s="9">
        <f>'3_TF'!I212*'4_IDF'!$E212</f>
        <v/>
      </c>
      <c r="J212" s="9">
        <f>'3_TF'!J212*'4_IDF'!$E212</f>
        <v/>
      </c>
      <c r="K212" s="9">
        <f>'3_TF'!K212*'4_IDF'!$E212</f>
        <v/>
      </c>
      <c r="L212" s="9">
        <f>'3_TF'!L212*'4_IDF'!$E212</f>
        <v/>
      </c>
      <c r="M212" s="9">
        <f>'3_TF'!M212*'4_IDF'!$E212</f>
        <v/>
      </c>
      <c r="O212" s="6">
        <f>A212</f>
        <v/>
      </c>
      <c r="P212" s="9">
        <f>IF(B$227=0,0,B212/B$227)</f>
        <v/>
      </c>
      <c r="Q212" s="9">
        <f>IF(C$227=0,0,C212/C$227)</f>
        <v/>
      </c>
      <c r="R212" s="9">
        <f>IF(D$227=0,0,D212/D$227)</f>
        <v/>
      </c>
      <c r="S212" s="9">
        <f>IF(E$227=0,0,E212/E$227)</f>
        <v/>
      </c>
      <c r="T212" s="9">
        <f>IF(F$227=0,0,F212/F$227)</f>
        <v/>
      </c>
      <c r="U212" s="9">
        <f>IF(G$227=0,0,G212/G$227)</f>
        <v/>
      </c>
      <c r="V212" s="9">
        <f>IF(H$227=0,0,H212/H$227)</f>
        <v/>
      </c>
      <c r="W212" s="9">
        <f>IF(I$227=0,0,I212/I$227)</f>
        <v/>
      </c>
      <c r="X212" s="9">
        <f>IF(J$227=0,0,J212/J$227)</f>
        <v/>
      </c>
      <c r="Y212" s="9">
        <f>IF(K$227=0,0,K212/K$227)</f>
        <v/>
      </c>
      <c r="Z212" s="9">
        <f>IF(L$227=0,0,L212/L$227)</f>
        <v/>
      </c>
      <c r="AA212" s="9">
        <f>IF(M$227=0,0,M212/M$227)</f>
        <v/>
      </c>
      <c r="AB212" s="9">
        <f>AVERAGE(P212,Q212,S212)</f>
        <v/>
      </c>
    </row>
    <row r="213">
      <c r="A213" s="6">
        <f>'3_TF'!A213</f>
        <v/>
      </c>
      <c r="B213" s="9">
        <f>'3_TF'!B213*'4_IDF'!$E213</f>
        <v/>
      </c>
      <c r="C213" s="9">
        <f>'3_TF'!C213*'4_IDF'!$E213</f>
        <v/>
      </c>
      <c r="D213" s="9">
        <f>'3_TF'!D213*'4_IDF'!$E213</f>
        <v/>
      </c>
      <c r="E213" s="9">
        <f>'3_TF'!E213*'4_IDF'!$E213</f>
        <v/>
      </c>
      <c r="F213" s="9">
        <f>'3_TF'!F213*'4_IDF'!$E213</f>
        <v/>
      </c>
      <c r="G213" s="9">
        <f>'3_TF'!G213*'4_IDF'!$E213</f>
        <v/>
      </c>
      <c r="H213" s="9">
        <f>'3_TF'!H213*'4_IDF'!$E213</f>
        <v/>
      </c>
      <c r="I213" s="9">
        <f>'3_TF'!I213*'4_IDF'!$E213</f>
        <v/>
      </c>
      <c r="J213" s="9">
        <f>'3_TF'!J213*'4_IDF'!$E213</f>
        <v/>
      </c>
      <c r="K213" s="9">
        <f>'3_TF'!K213*'4_IDF'!$E213</f>
        <v/>
      </c>
      <c r="L213" s="9">
        <f>'3_TF'!L213*'4_IDF'!$E213</f>
        <v/>
      </c>
      <c r="M213" s="9">
        <f>'3_TF'!M213*'4_IDF'!$E213</f>
        <v/>
      </c>
      <c r="O213" s="6">
        <f>A213</f>
        <v/>
      </c>
      <c r="P213" s="9">
        <f>IF(B$227=0,0,B213/B$227)</f>
        <v/>
      </c>
      <c r="Q213" s="9">
        <f>IF(C$227=0,0,C213/C$227)</f>
        <v/>
      </c>
      <c r="R213" s="9">
        <f>IF(D$227=0,0,D213/D$227)</f>
        <v/>
      </c>
      <c r="S213" s="9">
        <f>IF(E$227=0,0,E213/E$227)</f>
        <v/>
      </c>
      <c r="T213" s="9">
        <f>IF(F$227=0,0,F213/F$227)</f>
        <v/>
      </c>
      <c r="U213" s="9">
        <f>IF(G$227=0,0,G213/G$227)</f>
        <v/>
      </c>
      <c r="V213" s="9">
        <f>IF(H$227=0,0,H213/H$227)</f>
        <v/>
      </c>
      <c r="W213" s="9">
        <f>IF(I$227=0,0,I213/I$227)</f>
        <v/>
      </c>
      <c r="X213" s="9">
        <f>IF(J$227=0,0,J213/J$227)</f>
        <v/>
      </c>
      <c r="Y213" s="9">
        <f>IF(K$227=0,0,K213/K$227)</f>
        <v/>
      </c>
      <c r="Z213" s="9">
        <f>IF(L$227=0,0,L213/L$227)</f>
        <v/>
      </c>
      <c r="AA213" s="9">
        <f>IF(M$227=0,0,M213/M$227)</f>
        <v/>
      </c>
      <c r="AB213" s="9">
        <f>AVERAGE(P213,Q213,S213)</f>
        <v/>
      </c>
    </row>
    <row r="214">
      <c r="A214" s="6">
        <f>'3_TF'!A214</f>
        <v/>
      </c>
      <c r="B214" s="9">
        <f>'3_TF'!B214*'4_IDF'!$E214</f>
        <v/>
      </c>
      <c r="C214" s="9">
        <f>'3_TF'!C214*'4_IDF'!$E214</f>
        <v/>
      </c>
      <c r="D214" s="9">
        <f>'3_TF'!D214*'4_IDF'!$E214</f>
        <v/>
      </c>
      <c r="E214" s="9">
        <f>'3_TF'!E214*'4_IDF'!$E214</f>
        <v/>
      </c>
      <c r="F214" s="9">
        <f>'3_TF'!F214*'4_IDF'!$E214</f>
        <v/>
      </c>
      <c r="G214" s="9">
        <f>'3_TF'!G214*'4_IDF'!$E214</f>
        <v/>
      </c>
      <c r="H214" s="9">
        <f>'3_TF'!H214*'4_IDF'!$E214</f>
        <v/>
      </c>
      <c r="I214" s="9">
        <f>'3_TF'!I214*'4_IDF'!$E214</f>
        <v/>
      </c>
      <c r="J214" s="9">
        <f>'3_TF'!J214*'4_IDF'!$E214</f>
        <v/>
      </c>
      <c r="K214" s="9">
        <f>'3_TF'!K214*'4_IDF'!$E214</f>
        <v/>
      </c>
      <c r="L214" s="9">
        <f>'3_TF'!L214*'4_IDF'!$E214</f>
        <v/>
      </c>
      <c r="M214" s="9">
        <f>'3_TF'!M214*'4_IDF'!$E214</f>
        <v/>
      </c>
      <c r="O214" s="6">
        <f>A214</f>
        <v/>
      </c>
      <c r="P214" s="9">
        <f>IF(B$227=0,0,B214/B$227)</f>
        <v/>
      </c>
      <c r="Q214" s="9">
        <f>IF(C$227=0,0,C214/C$227)</f>
        <v/>
      </c>
      <c r="R214" s="9">
        <f>IF(D$227=0,0,D214/D$227)</f>
        <v/>
      </c>
      <c r="S214" s="9">
        <f>IF(E$227=0,0,E214/E$227)</f>
        <v/>
      </c>
      <c r="T214" s="9">
        <f>IF(F$227=0,0,F214/F$227)</f>
        <v/>
      </c>
      <c r="U214" s="9">
        <f>IF(G$227=0,0,G214/G$227)</f>
        <v/>
      </c>
      <c r="V214" s="9">
        <f>IF(H$227=0,0,H214/H$227)</f>
        <v/>
      </c>
      <c r="W214" s="9">
        <f>IF(I$227=0,0,I214/I$227)</f>
        <v/>
      </c>
      <c r="X214" s="9">
        <f>IF(J$227=0,0,J214/J$227)</f>
        <v/>
      </c>
      <c r="Y214" s="9">
        <f>IF(K$227=0,0,K214/K$227)</f>
        <v/>
      </c>
      <c r="Z214" s="9">
        <f>IF(L$227=0,0,L214/L$227)</f>
        <v/>
      </c>
      <c r="AA214" s="9">
        <f>IF(M$227=0,0,M214/M$227)</f>
        <v/>
      </c>
      <c r="AB214" s="9">
        <f>AVERAGE(P214,Q214,S214)</f>
        <v/>
      </c>
    </row>
    <row r="215">
      <c r="A215" s="6">
        <f>'3_TF'!A215</f>
        <v/>
      </c>
      <c r="B215" s="9">
        <f>'3_TF'!B215*'4_IDF'!$E215</f>
        <v/>
      </c>
      <c r="C215" s="9">
        <f>'3_TF'!C215*'4_IDF'!$E215</f>
        <v/>
      </c>
      <c r="D215" s="9">
        <f>'3_TF'!D215*'4_IDF'!$E215</f>
        <v/>
      </c>
      <c r="E215" s="9">
        <f>'3_TF'!E215*'4_IDF'!$E215</f>
        <v/>
      </c>
      <c r="F215" s="9">
        <f>'3_TF'!F215*'4_IDF'!$E215</f>
        <v/>
      </c>
      <c r="G215" s="9">
        <f>'3_TF'!G215*'4_IDF'!$E215</f>
        <v/>
      </c>
      <c r="H215" s="9">
        <f>'3_TF'!H215*'4_IDF'!$E215</f>
        <v/>
      </c>
      <c r="I215" s="9">
        <f>'3_TF'!I215*'4_IDF'!$E215</f>
        <v/>
      </c>
      <c r="J215" s="9">
        <f>'3_TF'!J215*'4_IDF'!$E215</f>
        <v/>
      </c>
      <c r="K215" s="9">
        <f>'3_TF'!K215*'4_IDF'!$E215</f>
        <v/>
      </c>
      <c r="L215" s="9">
        <f>'3_TF'!L215*'4_IDF'!$E215</f>
        <v/>
      </c>
      <c r="M215" s="9">
        <f>'3_TF'!M215*'4_IDF'!$E215</f>
        <v/>
      </c>
      <c r="O215" s="6">
        <f>A215</f>
        <v/>
      </c>
      <c r="P215" s="9">
        <f>IF(B$227=0,0,B215/B$227)</f>
        <v/>
      </c>
      <c r="Q215" s="9">
        <f>IF(C$227=0,0,C215/C$227)</f>
        <v/>
      </c>
      <c r="R215" s="9">
        <f>IF(D$227=0,0,D215/D$227)</f>
        <v/>
      </c>
      <c r="S215" s="9">
        <f>IF(E$227=0,0,E215/E$227)</f>
        <v/>
      </c>
      <c r="T215" s="9">
        <f>IF(F$227=0,0,F215/F$227)</f>
        <v/>
      </c>
      <c r="U215" s="9">
        <f>IF(G$227=0,0,G215/G$227)</f>
        <v/>
      </c>
      <c r="V215" s="9">
        <f>IF(H$227=0,0,H215/H$227)</f>
        <v/>
      </c>
      <c r="W215" s="9">
        <f>IF(I$227=0,0,I215/I$227)</f>
        <v/>
      </c>
      <c r="X215" s="9">
        <f>IF(J$227=0,0,J215/J$227)</f>
        <v/>
      </c>
      <c r="Y215" s="9">
        <f>IF(K$227=0,0,K215/K$227)</f>
        <v/>
      </c>
      <c r="Z215" s="9">
        <f>IF(L$227=0,0,L215/L$227)</f>
        <v/>
      </c>
      <c r="AA215" s="9">
        <f>IF(M$227=0,0,M215/M$227)</f>
        <v/>
      </c>
      <c r="AB215" s="9">
        <f>AVERAGE(P215,Q215,S215)</f>
        <v/>
      </c>
    </row>
    <row r="216">
      <c r="A216" s="6">
        <f>'3_TF'!A216</f>
        <v/>
      </c>
      <c r="B216" s="9">
        <f>'3_TF'!B216*'4_IDF'!$E216</f>
        <v/>
      </c>
      <c r="C216" s="9">
        <f>'3_TF'!C216*'4_IDF'!$E216</f>
        <v/>
      </c>
      <c r="D216" s="9">
        <f>'3_TF'!D216*'4_IDF'!$E216</f>
        <v/>
      </c>
      <c r="E216" s="9">
        <f>'3_TF'!E216*'4_IDF'!$E216</f>
        <v/>
      </c>
      <c r="F216" s="9">
        <f>'3_TF'!F216*'4_IDF'!$E216</f>
        <v/>
      </c>
      <c r="G216" s="9">
        <f>'3_TF'!G216*'4_IDF'!$E216</f>
        <v/>
      </c>
      <c r="H216" s="9">
        <f>'3_TF'!H216*'4_IDF'!$E216</f>
        <v/>
      </c>
      <c r="I216" s="9">
        <f>'3_TF'!I216*'4_IDF'!$E216</f>
        <v/>
      </c>
      <c r="J216" s="9">
        <f>'3_TF'!J216*'4_IDF'!$E216</f>
        <v/>
      </c>
      <c r="K216" s="9">
        <f>'3_TF'!K216*'4_IDF'!$E216</f>
        <v/>
      </c>
      <c r="L216" s="9">
        <f>'3_TF'!L216*'4_IDF'!$E216</f>
        <v/>
      </c>
      <c r="M216" s="9">
        <f>'3_TF'!M216*'4_IDF'!$E216</f>
        <v/>
      </c>
      <c r="O216" s="6">
        <f>A216</f>
        <v/>
      </c>
      <c r="P216" s="9">
        <f>IF(B$227=0,0,B216/B$227)</f>
        <v/>
      </c>
      <c r="Q216" s="9">
        <f>IF(C$227=0,0,C216/C$227)</f>
        <v/>
      </c>
      <c r="R216" s="9">
        <f>IF(D$227=0,0,D216/D$227)</f>
        <v/>
      </c>
      <c r="S216" s="9">
        <f>IF(E$227=0,0,E216/E$227)</f>
        <v/>
      </c>
      <c r="T216" s="9">
        <f>IF(F$227=0,0,F216/F$227)</f>
        <v/>
      </c>
      <c r="U216" s="9">
        <f>IF(G$227=0,0,G216/G$227)</f>
        <v/>
      </c>
      <c r="V216" s="9">
        <f>IF(H$227=0,0,H216/H$227)</f>
        <v/>
      </c>
      <c r="W216" s="9">
        <f>IF(I$227=0,0,I216/I$227)</f>
        <v/>
      </c>
      <c r="X216" s="9">
        <f>IF(J$227=0,0,J216/J$227)</f>
        <v/>
      </c>
      <c r="Y216" s="9">
        <f>IF(K$227=0,0,K216/K$227)</f>
        <v/>
      </c>
      <c r="Z216" s="9">
        <f>IF(L$227=0,0,L216/L$227)</f>
        <v/>
      </c>
      <c r="AA216" s="9">
        <f>IF(M$227=0,0,M216/M$227)</f>
        <v/>
      </c>
      <c r="AB216" s="9">
        <f>AVERAGE(P216,Q216,S216)</f>
        <v/>
      </c>
    </row>
    <row r="217">
      <c r="A217" s="6">
        <f>'3_TF'!A217</f>
        <v/>
      </c>
      <c r="B217" s="9">
        <f>'3_TF'!B217*'4_IDF'!$E217</f>
        <v/>
      </c>
      <c r="C217" s="9">
        <f>'3_TF'!C217*'4_IDF'!$E217</f>
        <v/>
      </c>
      <c r="D217" s="9">
        <f>'3_TF'!D217*'4_IDF'!$E217</f>
        <v/>
      </c>
      <c r="E217" s="9">
        <f>'3_TF'!E217*'4_IDF'!$E217</f>
        <v/>
      </c>
      <c r="F217" s="9">
        <f>'3_TF'!F217*'4_IDF'!$E217</f>
        <v/>
      </c>
      <c r="G217" s="9">
        <f>'3_TF'!G217*'4_IDF'!$E217</f>
        <v/>
      </c>
      <c r="H217" s="9">
        <f>'3_TF'!H217*'4_IDF'!$E217</f>
        <v/>
      </c>
      <c r="I217" s="9">
        <f>'3_TF'!I217*'4_IDF'!$E217</f>
        <v/>
      </c>
      <c r="J217" s="9">
        <f>'3_TF'!J217*'4_IDF'!$E217</f>
        <v/>
      </c>
      <c r="K217" s="9">
        <f>'3_TF'!K217*'4_IDF'!$E217</f>
        <v/>
      </c>
      <c r="L217" s="9">
        <f>'3_TF'!L217*'4_IDF'!$E217</f>
        <v/>
      </c>
      <c r="M217" s="9">
        <f>'3_TF'!M217*'4_IDF'!$E217</f>
        <v/>
      </c>
      <c r="O217" s="6">
        <f>A217</f>
        <v/>
      </c>
      <c r="P217" s="9">
        <f>IF(B$227=0,0,B217/B$227)</f>
        <v/>
      </c>
      <c r="Q217" s="9">
        <f>IF(C$227=0,0,C217/C$227)</f>
        <v/>
      </c>
      <c r="R217" s="9">
        <f>IF(D$227=0,0,D217/D$227)</f>
        <v/>
      </c>
      <c r="S217" s="9">
        <f>IF(E$227=0,0,E217/E$227)</f>
        <v/>
      </c>
      <c r="T217" s="9">
        <f>IF(F$227=0,0,F217/F$227)</f>
        <v/>
      </c>
      <c r="U217" s="9">
        <f>IF(G$227=0,0,G217/G$227)</f>
        <v/>
      </c>
      <c r="V217" s="9">
        <f>IF(H$227=0,0,H217/H$227)</f>
        <v/>
      </c>
      <c r="W217" s="9">
        <f>IF(I$227=0,0,I217/I$227)</f>
        <v/>
      </c>
      <c r="X217" s="9">
        <f>IF(J$227=0,0,J217/J$227)</f>
        <v/>
      </c>
      <c r="Y217" s="9">
        <f>IF(K$227=0,0,K217/K$227)</f>
        <v/>
      </c>
      <c r="Z217" s="9">
        <f>IF(L$227=0,0,L217/L$227)</f>
        <v/>
      </c>
      <c r="AA217" s="9">
        <f>IF(M$227=0,0,M217/M$227)</f>
        <v/>
      </c>
      <c r="AB217" s="9">
        <f>AVERAGE(P217,Q217,S217)</f>
        <v/>
      </c>
    </row>
    <row r="218">
      <c r="A218" s="6">
        <f>'3_TF'!A218</f>
        <v/>
      </c>
      <c r="B218" s="9">
        <f>'3_TF'!B218*'4_IDF'!$E218</f>
        <v/>
      </c>
      <c r="C218" s="9">
        <f>'3_TF'!C218*'4_IDF'!$E218</f>
        <v/>
      </c>
      <c r="D218" s="9">
        <f>'3_TF'!D218*'4_IDF'!$E218</f>
        <v/>
      </c>
      <c r="E218" s="9">
        <f>'3_TF'!E218*'4_IDF'!$E218</f>
        <v/>
      </c>
      <c r="F218" s="9">
        <f>'3_TF'!F218*'4_IDF'!$E218</f>
        <v/>
      </c>
      <c r="G218" s="9">
        <f>'3_TF'!G218*'4_IDF'!$E218</f>
        <v/>
      </c>
      <c r="H218" s="9">
        <f>'3_TF'!H218*'4_IDF'!$E218</f>
        <v/>
      </c>
      <c r="I218" s="9">
        <f>'3_TF'!I218*'4_IDF'!$E218</f>
        <v/>
      </c>
      <c r="J218" s="9">
        <f>'3_TF'!J218*'4_IDF'!$E218</f>
        <v/>
      </c>
      <c r="K218" s="9">
        <f>'3_TF'!K218*'4_IDF'!$E218</f>
        <v/>
      </c>
      <c r="L218" s="9">
        <f>'3_TF'!L218*'4_IDF'!$E218</f>
        <v/>
      </c>
      <c r="M218" s="9">
        <f>'3_TF'!M218*'4_IDF'!$E218</f>
        <v/>
      </c>
      <c r="O218" s="6">
        <f>A218</f>
        <v/>
      </c>
      <c r="P218" s="9">
        <f>IF(B$227=0,0,B218/B$227)</f>
        <v/>
      </c>
      <c r="Q218" s="9">
        <f>IF(C$227=0,0,C218/C$227)</f>
        <v/>
      </c>
      <c r="R218" s="9">
        <f>IF(D$227=0,0,D218/D$227)</f>
        <v/>
      </c>
      <c r="S218" s="9">
        <f>IF(E$227=0,0,E218/E$227)</f>
        <v/>
      </c>
      <c r="T218" s="9">
        <f>IF(F$227=0,0,F218/F$227)</f>
        <v/>
      </c>
      <c r="U218" s="9">
        <f>IF(G$227=0,0,G218/G$227)</f>
        <v/>
      </c>
      <c r="V218" s="9">
        <f>IF(H$227=0,0,H218/H$227)</f>
        <v/>
      </c>
      <c r="W218" s="9">
        <f>IF(I$227=0,0,I218/I$227)</f>
        <v/>
      </c>
      <c r="X218" s="9">
        <f>IF(J$227=0,0,J218/J$227)</f>
        <v/>
      </c>
      <c r="Y218" s="9">
        <f>IF(K$227=0,0,K218/K$227)</f>
        <v/>
      </c>
      <c r="Z218" s="9">
        <f>IF(L$227=0,0,L218/L$227)</f>
        <v/>
      </c>
      <c r="AA218" s="9">
        <f>IF(M$227=0,0,M218/M$227)</f>
        <v/>
      </c>
      <c r="AB218" s="9">
        <f>AVERAGE(P218,Q218,S218)</f>
        <v/>
      </c>
    </row>
    <row r="219">
      <c r="A219" s="6">
        <f>'3_TF'!A219</f>
        <v/>
      </c>
      <c r="B219" s="9">
        <f>'3_TF'!B219*'4_IDF'!$E219</f>
        <v/>
      </c>
      <c r="C219" s="9">
        <f>'3_TF'!C219*'4_IDF'!$E219</f>
        <v/>
      </c>
      <c r="D219" s="9">
        <f>'3_TF'!D219*'4_IDF'!$E219</f>
        <v/>
      </c>
      <c r="E219" s="9">
        <f>'3_TF'!E219*'4_IDF'!$E219</f>
        <v/>
      </c>
      <c r="F219" s="9">
        <f>'3_TF'!F219*'4_IDF'!$E219</f>
        <v/>
      </c>
      <c r="G219" s="9">
        <f>'3_TF'!G219*'4_IDF'!$E219</f>
        <v/>
      </c>
      <c r="H219" s="9">
        <f>'3_TF'!H219*'4_IDF'!$E219</f>
        <v/>
      </c>
      <c r="I219" s="9">
        <f>'3_TF'!I219*'4_IDF'!$E219</f>
        <v/>
      </c>
      <c r="J219" s="9">
        <f>'3_TF'!J219*'4_IDF'!$E219</f>
        <v/>
      </c>
      <c r="K219" s="9">
        <f>'3_TF'!K219*'4_IDF'!$E219</f>
        <v/>
      </c>
      <c r="L219" s="9">
        <f>'3_TF'!L219*'4_IDF'!$E219</f>
        <v/>
      </c>
      <c r="M219" s="9">
        <f>'3_TF'!M219*'4_IDF'!$E219</f>
        <v/>
      </c>
      <c r="O219" s="6">
        <f>A219</f>
        <v/>
      </c>
      <c r="P219" s="9">
        <f>IF(B$227=0,0,B219/B$227)</f>
        <v/>
      </c>
      <c r="Q219" s="9">
        <f>IF(C$227=0,0,C219/C$227)</f>
        <v/>
      </c>
      <c r="R219" s="9">
        <f>IF(D$227=0,0,D219/D$227)</f>
        <v/>
      </c>
      <c r="S219" s="9">
        <f>IF(E$227=0,0,E219/E$227)</f>
        <v/>
      </c>
      <c r="T219" s="9">
        <f>IF(F$227=0,0,F219/F$227)</f>
        <v/>
      </c>
      <c r="U219" s="9">
        <f>IF(G$227=0,0,G219/G$227)</f>
        <v/>
      </c>
      <c r="V219" s="9">
        <f>IF(H$227=0,0,H219/H$227)</f>
        <v/>
      </c>
      <c r="W219" s="9">
        <f>IF(I$227=0,0,I219/I$227)</f>
        <v/>
      </c>
      <c r="X219" s="9">
        <f>IF(J$227=0,0,J219/J$227)</f>
        <v/>
      </c>
      <c r="Y219" s="9">
        <f>IF(K$227=0,0,K219/K$227)</f>
        <v/>
      </c>
      <c r="Z219" s="9">
        <f>IF(L$227=0,0,L219/L$227)</f>
        <v/>
      </c>
      <c r="AA219" s="9">
        <f>IF(M$227=0,0,M219/M$227)</f>
        <v/>
      </c>
      <c r="AB219" s="9">
        <f>AVERAGE(P219,Q219,S219)</f>
        <v/>
      </c>
    </row>
    <row r="220">
      <c r="A220" s="6">
        <f>'3_TF'!A220</f>
        <v/>
      </c>
      <c r="B220" s="9">
        <f>'3_TF'!B220*'4_IDF'!$E220</f>
        <v/>
      </c>
      <c r="C220" s="9">
        <f>'3_TF'!C220*'4_IDF'!$E220</f>
        <v/>
      </c>
      <c r="D220" s="9">
        <f>'3_TF'!D220*'4_IDF'!$E220</f>
        <v/>
      </c>
      <c r="E220" s="9">
        <f>'3_TF'!E220*'4_IDF'!$E220</f>
        <v/>
      </c>
      <c r="F220" s="9">
        <f>'3_TF'!F220*'4_IDF'!$E220</f>
        <v/>
      </c>
      <c r="G220" s="9">
        <f>'3_TF'!G220*'4_IDF'!$E220</f>
        <v/>
      </c>
      <c r="H220" s="9">
        <f>'3_TF'!H220*'4_IDF'!$E220</f>
        <v/>
      </c>
      <c r="I220" s="9">
        <f>'3_TF'!I220*'4_IDF'!$E220</f>
        <v/>
      </c>
      <c r="J220" s="9">
        <f>'3_TF'!J220*'4_IDF'!$E220</f>
        <v/>
      </c>
      <c r="K220" s="9">
        <f>'3_TF'!K220*'4_IDF'!$E220</f>
        <v/>
      </c>
      <c r="L220" s="9">
        <f>'3_TF'!L220*'4_IDF'!$E220</f>
        <v/>
      </c>
      <c r="M220" s="9">
        <f>'3_TF'!M220*'4_IDF'!$E220</f>
        <v/>
      </c>
      <c r="O220" s="6">
        <f>A220</f>
        <v/>
      </c>
      <c r="P220" s="9">
        <f>IF(B$227=0,0,B220/B$227)</f>
        <v/>
      </c>
      <c r="Q220" s="9">
        <f>IF(C$227=0,0,C220/C$227)</f>
        <v/>
      </c>
      <c r="R220" s="9">
        <f>IF(D$227=0,0,D220/D$227)</f>
        <v/>
      </c>
      <c r="S220" s="9">
        <f>IF(E$227=0,0,E220/E$227)</f>
        <v/>
      </c>
      <c r="T220" s="9">
        <f>IF(F$227=0,0,F220/F$227)</f>
        <v/>
      </c>
      <c r="U220" s="9">
        <f>IF(G$227=0,0,G220/G$227)</f>
        <v/>
      </c>
      <c r="V220" s="9">
        <f>IF(H$227=0,0,H220/H$227)</f>
        <v/>
      </c>
      <c r="W220" s="9">
        <f>IF(I$227=0,0,I220/I$227)</f>
        <v/>
      </c>
      <c r="X220" s="9">
        <f>IF(J$227=0,0,J220/J$227)</f>
        <v/>
      </c>
      <c r="Y220" s="9">
        <f>IF(K$227=0,0,K220/K$227)</f>
        <v/>
      </c>
      <c r="Z220" s="9">
        <f>IF(L$227=0,0,L220/L$227)</f>
        <v/>
      </c>
      <c r="AA220" s="9">
        <f>IF(M$227=0,0,M220/M$227)</f>
        <v/>
      </c>
      <c r="AB220" s="9">
        <f>AVERAGE(P220,Q220,S220)</f>
        <v/>
      </c>
    </row>
    <row r="221">
      <c r="A221" s="6">
        <f>'3_TF'!A221</f>
        <v/>
      </c>
      <c r="B221" s="9">
        <f>'3_TF'!B221*'4_IDF'!$E221</f>
        <v/>
      </c>
      <c r="C221" s="9">
        <f>'3_TF'!C221*'4_IDF'!$E221</f>
        <v/>
      </c>
      <c r="D221" s="9">
        <f>'3_TF'!D221*'4_IDF'!$E221</f>
        <v/>
      </c>
      <c r="E221" s="9">
        <f>'3_TF'!E221*'4_IDF'!$E221</f>
        <v/>
      </c>
      <c r="F221" s="9">
        <f>'3_TF'!F221*'4_IDF'!$E221</f>
        <v/>
      </c>
      <c r="G221" s="9">
        <f>'3_TF'!G221*'4_IDF'!$E221</f>
        <v/>
      </c>
      <c r="H221" s="9">
        <f>'3_TF'!H221*'4_IDF'!$E221</f>
        <v/>
      </c>
      <c r="I221" s="9">
        <f>'3_TF'!I221*'4_IDF'!$E221</f>
        <v/>
      </c>
      <c r="J221" s="9">
        <f>'3_TF'!J221*'4_IDF'!$E221</f>
        <v/>
      </c>
      <c r="K221" s="9">
        <f>'3_TF'!K221*'4_IDF'!$E221</f>
        <v/>
      </c>
      <c r="L221" s="9">
        <f>'3_TF'!L221*'4_IDF'!$E221</f>
        <v/>
      </c>
      <c r="M221" s="9">
        <f>'3_TF'!M221*'4_IDF'!$E221</f>
        <v/>
      </c>
      <c r="O221" s="6">
        <f>A221</f>
        <v/>
      </c>
      <c r="P221" s="9">
        <f>IF(B$227=0,0,B221/B$227)</f>
        <v/>
      </c>
      <c r="Q221" s="9">
        <f>IF(C$227=0,0,C221/C$227)</f>
        <v/>
      </c>
      <c r="R221" s="9">
        <f>IF(D$227=0,0,D221/D$227)</f>
        <v/>
      </c>
      <c r="S221" s="9">
        <f>IF(E$227=0,0,E221/E$227)</f>
        <v/>
      </c>
      <c r="T221" s="9">
        <f>IF(F$227=0,0,F221/F$227)</f>
        <v/>
      </c>
      <c r="U221" s="9">
        <f>IF(G$227=0,0,G221/G$227)</f>
        <v/>
      </c>
      <c r="V221" s="9">
        <f>IF(H$227=0,0,H221/H$227)</f>
        <v/>
      </c>
      <c r="W221" s="9">
        <f>IF(I$227=0,0,I221/I$227)</f>
        <v/>
      </c>
      <c r="X221" s="9">
        <f>IF(J$227=0,0,J221/J$227)</f>
        <v/>
      </c>
      <c r="Y221" s="9">
        <f>IF(K$227=0,0,K221/K$227)</f>
        <v/>
      </c>
      <c r="Z221" s="9">
        <f>IF(L$227=0,0,L221/L$227)</f>
        <v/>
      </c>
      <c r="AA221" s="9">
        <f>IF(M$227=0,0,M221/M$227)</f>
        <v/>
      </c>
      <c r="AB221" s="9">
        <f>AVERAGE(P221,Q221,S221)</f>
        <v/>
      </c>
    </row>
    <row r="222">
      <c r="A222" s="6">
        <f>'3_TF'!A222</f>
        <v/>
      </c>
      <c r="B222" s="9">
        <f>'3_TF'!B222*'4_IDF'!$E222</f>
        <v/>
      </c>
      <c r="C222" s="9">
        <f>'3_TF'!C222*'4_IDF'!$E222</f>
        <v/>
      </c>
      <c r="D222" s="9">
        <f>'3_TF'!D222*'4_IDF'!$E222</f>
        <v/>
      </c>
      <c r="E222" s="9">
        <f>'3_TF'!E222*'4_IDF'!$E222</f>
        <v/>
      </c>
      <c r="F222" s="9">
        <f>'3_TF'!F222*'4_IDF'!$E222</f>
        <v/>
      </c>
      <c r="G222" s="9">
        <f>'3_TF'!G222*'4_IDF'!$E222</f>
        <v/>
      </c>
      <c r="H222" s="9">
        <f>'3_TF'!H222*'4_IDF'!$E222</f>
        <v/>
      </c>
      <c r="I222" s="9">
        <f>'3_TF'!I222*'4_IDF'!$E222</f>
        <v/>
      </c>
      <c r="J222" s="9">
        <f>'3_TF'!J222*'4_IDF'!$E222</f>
        <v/>
      </c>
      <c r="K222" s="9">
        <f>'3_TF'!K222*'4_IDF'!$E222</f>
        <v/>
      </c>
      <c r="L222" s="9">
        <f>'3_TF'!L222*'4_IDF'!$E222</f>
        <v/>
      </c>
      <c r="M222" s="9">
        <f>'3_TF'!M222*'4_IDF'!$E222</f>
        <v/>
      </c>
      <c r="O222" s="6">
        <f>A222</f>
        <v/>
      </c>
      <c r="P222" s="9">
        <f>IF(B$227=0,0,B222/B$227)</f>
        <v/>
      </c>
      <c r="Q222" s="9">
        <f>IF(C$227=0,0,C222/C$227)</f>
        <v/>
      </c>
      <c r="R222" s="9">
        <f>IF(D$227=0,0,D222/D$227)</f>
        <v/>
      </c>
      <c r="S222" s="9">
        <f>IF(E$227=0,0,E222/E$227)</f>
        <v/>
      </c>
      <c r="T222" s="9">
        <f>IF(F$227=0,0,F222/F$227)</f>
        <v/>
      </c>
      <c r="U222" s="9">
        <f>IF(G$227=0,0,G222/G$227)</f>
        <v/>
      </c>
      <c r="V222" s="9">
        <f>IF(H$227=0,0,H222/H$227)</f>
        <v/>
      </c>
      <c r="W222" s="9">
        <f>IF(I$227=0,0,I222/I$227)</f>
        <v/>
      </c>
      <c r="X222" s="9">
        <f>IF(J$227=0,0,J222/J$227)</f>
        <v/>
      </c>
      <c r="Y222" s="9">
        <f>IF(K$227=0,0,K222/K$227)</f>
        <v/>
      </c>
      <c r="Z222" s="9">
        <f>IF(L$227=0,0,L222/L$227)</f>
        <v/>
      </c>
      <c r="AA222" s="9">
        <f>IF(M$227=0,0,M222/M$227)</f>
        <v/>
      </c>
      <c r="AB222" s="9">
        <f>AVERAGE(P222,Q222,S222)</f>
        <v/>
      </c>
    </row>
    <row r="223">
      <c r="A223" s="6">
        <f>'3_TF'!A223</f>
        <v/>
      </c>
      <c r="B223" s="9">
        <f>'3_TF'!B223*'4_IDF'!$E223</f>
        <v/>
      </c>
      <c r="C223" s="9">
        <f>'3_TF'!C223*'4_IDF'!$E223</f>
        <v/>
      </c>
      <c r="D223" s="9">
        <f>'3_TF'!D223*'4_IDF'!$E223</f>
        <v/>
      </c>
      <c r="E223" s="9">
        <f>'3_TF'!E223*'4_IDF'!$E223</f>
        <v/>
      </c>
      <c r="F223" s="9">
        <f>'3_TF'!F223*'4_IDF'!$E223</f>
        <v/>
      </c>
      <c r="G223" s="9">
        <f>'3_TF'!G223*'4_IDF'!$E223</f>
        <v/>
      </c>
      <c r="H223" s="9">
        <f>'3_TF'!H223*'4_IDF'!$E223</f>
        <v/>
      </c>
      <c r="I223" s="9">
        <f>'3_TF'!I223*'4_IDF'!$E223</f>
        <v/>
      </c>
      <c r="J223" s="9">
        <f>'3_TF'!J223*'4_IDF'!$E223</f>
        <v/>
      </c>
      <c r="K223" s="9">
        <f>'3_TF'!K223*'4_IDF'!$E223</f>
        <v/>
      </c>
      <c r="L223" s="9">
        <f>'3_TF'!L223*'4_IDF'!$E223</f>
        <v/>
      </c>
      <c r="M223" s="9">
        <f>'3_TF'!M223*'4_IDF'!$E223</f>
        <v/>
      </c>
      <c r="O223" s="6">
        <f>A223</f>
        <v/>
      </c>
      <c r="P223" s="9">
        <f>IF(B$227=0,0,B223/B$227)</f>
        <v/>
      </c>
      <c r="Q223" s="9">
        <f>IF(C$227=0,0,C223/C$227)</f>
        <v/>
      </c>
      <c r="R223" s="9">
        <f>IF(D$227=0,0,D223/D$227)</f>
        <v/>
      </c>
      <c r="S223" s="9">
        <f>IF(E$227=0,0,E223/E$227)</f>
        <v/>
      </c>
      <c r="T223" s="9">
        <f>IF(F$227=0,0,F223/F$227)</f>
        <v/>
      </c>
      <c r="U223" s="9">
        <f>IF(G$227=0,0,G223/G$227)</f>
        <v/>
      </c>
      <c r="V223" s="9">
        <f>IF(H$227=0,0,H223/H$227)</f>
        <v/>
      </c>
      <c r="W223" s="9">
        <f>IF(I$227=0,0,I223/I$227)</f>
        <v/>
      </c>
      <c r="X223" s="9">
        <f>IF(J$227=0,0,J223/J$227)</f>
        <v/>
      </c>
      <c r="Y223" s="9">
        <f>IF(K$227=0,0,K223/K$227)</f>
        <v/>
      </c>
      <c r="Z223" s="9">
        <f>IF(L$227=0,0,L223/L$227)</f>
        <v/>
      </c>
      <c r="AA223" s="9">
        <f>IF(M$227=0,0,M223/M$227)</f>
        <v/>
      </c>
      <c r="AB223" s="9">
        <f>AVERAGE(P223,Q223,S223)</f>
        <v/>
      </c>
    </row>
    <row r="224">
      <c r="A224" s="6">
        <f>'3_TF'!A224</f>
        <v/>
      </c>
      <c r="B224" s="9">
        <f>'3_TF'!B224*'4_IDF'!$E224</f>
        <v/>
      </c>
      <c r="C224" s="9">
        <f>'3_TF'!C224*'4_IDF'!$E224</f>
        <v/>
      </c>
      <c r="D224" s="9">
        <f>'3_TF'!D224*'4_IDF'!$E224</f>
        <v/>
      </c>
      <c r="E224" s="9">
        <f>'3_TF'!E224*'4_IDF'!$E224</f>
        <v/>
      </c>
      <c r="F224" s="9">
        <f>'3_TF'!F224*'4_IDF'!$E224</f>
        <v/>
      </c>
      <c r="G224" s="9">
        <f>'3_TF'!G224*'4_IDF'!$E224</f>
        <v/>
      </c>
      <c r="H224" s="9">
        <f>'3_TF'!H224*'4_IDF'!$E224</f>
        <v/>
      </c>
      <c r="I224" s="9">
        <f>'3_TF'!I224*'4_IDF'!$E224</f>
        <v/>
      </c>
      <c r="J224" s="9">
        <f>'3_TF'!J224*'4_IDF'!$E224</f>
        <v/>
      </c>
      <c r="K224" s="9">
        <f>'3_TF'!K224*'4_IDF'!$E224</f>
        <v/>
      </c>
      <c r="L224" s="9">
        <f>'3_TF'!L224*'4_IDF'!$E224</f>
        <v/>
      </c>
      <c r="M224" s="9">
        <f>'3_TF'!M224*'4_IDF'!$E224</f>
        <v/>
      </c>
      <c r="O224" s="6">
        <f>A224</f>
        <v/>
      </c>
      <c r="P224" s="9">
        <f>IF(B$227=0,0,B224/B$227)</f>
        <v/>
      </c>
      <c r="Q224" s="9">
        <f>IF(C$227=0,0,C224/C$227)</f>
        <v/>
      </c>
      <c r="R224" s="9">
        <f>IF(D$227=0,0,D224/D$227)</f>
        <v/>
      </c>
      <c r="S224" s="9">
        <f>IF(E$227=0,0,E224/E$227)</f>
        <v/>
      </c>
      <c r="T224" s="9">
        <f>IF(F$227=0,0,F224/F$227)</f>
        <v/>
      </c>
      <c r="U224" s="9">
        <f>IF(G$227=0,0,G224/G$227)</f>
        <v/>
      </c>
      <c r="V224" s="9">
        <f>IF(H$227=0,0,H224/H$227)</f>
        <v/>
      </c>
      <c r="W224" s="9">
        <f>IF(I$227=0,0,I224/I$227)</f>
        <v/>
      </c>
      <c r="X224" s="9">
        <f>IF(J$227=0,0,J224/J$227)</f>
        <v/>
      </c>
      <c r="Y224" s="9">
        <f>IF(K$227=0,0,K224/K$227)</f>
        <v/>
      </c>
      <c r="Z224" s="9">
        <f>IF(L$227=0,0,L224/L$227)</f>
        <v/>
      </c>
      <c r="AA224" s="9">
        <f>IF(M$227=0,0,M224/M$227)</f>
        <v/>
      </c>
      <c r="AB224" s="9">
        <f>AVERAGE(P224,Q224,S224)</f>
        <v/>
      </c>
    </row>
    <row r="225">
      <c r="A225" s="6">
        <f>'3_TF'!A225</f>
        <v/>
      </c>
      <c r="B225" s="9">
        <f>'3_TF'!B225*'4_IDF'!$E225</f>
        <v/>
      </c>
      <c r="C225" s="9">
        <f>'3_TF'!C225*'4_IDF'!$E225</f>
        <v/>
      </c>
      <c r="D225" s="9">
        <f>'3_TF'!D225*'4_IDF'!$E225</f>
        <v/>
      </c>
      <c r="E225" s="9">
        <f>'3_TF'!E225*'4_IDF'!$E225</f>
        <v/>
      </c>
      <c r="F225" s="9">
        <f>'3_TF'!F225*'4_IDF'!$E225</f>
        <v/>
      </c>
      <c r="G225" s="9">
        <f>'3_TF'!G225*'4_IDF'!$E225</f>
        <v/>
      </c>
      <c r="H225" s="9">
        <f>'3_TF'!H225*'4_IDF'!$E225</f>
        <v/>
      </c>
      <c r="I225" s="9">
        <f>'3_TF'!I225*'4_IDF'!$E225</f>
        <v/>
      </c>
      <c r="J225" s="9">
        <f>'3_TF'!J225*'4_IDF'!$E225</f>
        <v/>
      </c>
      <c r="K225" s="9">
        <f>'3_TF'!K225*'4_IDF'!$E225</f>
        <v/>
      </c>
      <c r="L225" s="9">
        <f>'3_TF'!L225*'4_IDF'!$E225</f>
        <v/>
      </c>
      <c r="M225" s="9">
        <f>'3_TF'!M225*'4_IDF'!$E225</f>
        <v/>
      </c>
      <c r="O225" s="6">
        <f>A225</f>
        <v/>
      </c>
      <c r="P225" s="9">
        <f>IF(B$227=0,0,B225/B$227)</f>
        <v/>
      </c>
      <c r="Q225" s="9">
        <f>IF(C$227=0,0,C225/C$227)</f>
        <v/>
      </c>
      <c r="R225" s="9">
        <f>IF(D$227=0,0,D225/D$227)</f>
        <v/>
      </c>
      <c r="S225" s="9">
        <f>IF(E$227=0,0,E225/E$227)</f>
        <v/>
      </c>
      <c r="T225" s="9">
        <f>IF(F$227=0,0,F225/F$227)</f>
        <v/>
      </c>
      <c r="U225" s="9">
        <f>IF(G$227=0,0,G225/G$227)</f>
        <v/>
      </c>
      <c r="V225" s="9">
        <f>IF(H$227=0,0,H225/H$227)</f>
        <v/>
      </c>
      <c r="W225" s="9">
        <f>IF(I$227=0,0,I225/I$227)</f>
        <v/>
      </c>
      <c r="X225" s="9">
        <f>IF(J$227=0,0,J225/J$227)</f>
        <v/>
      </c>
      <c r="Y225" s="9">
        <f>IF(K$227=0,0,K225/K$227)</f>
        <v/>
      </c>
      <c r="Z225" s="9">
        <f>IF(L$227=0,0,L225/L$227)</f>
        <v/>
      </c>
      <c r="AA225" s="9">
        <f>IF(M$227=0,0,M225/M$227)</f>
        <v/>
      </c>
      <c r="AB225" s="9">
        <f>AVERAGE(P225,Q225,S225)</f>
        <v/>
      </c>
    </row>
    <row r="227">
      <c r="A227" s="4" t="inlineStr">
        <is>
          <t>norma</t>
        </is>
      </c>
      <c r="B227" s="9">
        <f>SQRT(SUMSQ(B6:B225))</f>
        <v/>
      </c>
      <c r="C227" s="9">
        <f>SQRT(SUMSQ(C6:C225))</f>
        <v/>
      </c>
      <c r="D227" s="9">
        <f>SQRT(SUMSQ(D6:D225))</f>
        <v/>
      </c>
      <c r="E227" s="9">
        <f>SQRT(SUMSQ(E6:E225))</f>
        <v/>
      </c>
      <c r="F227" s="9">
        <f>SQRT(SUMSQ(F6:F225))</f>
        <v/>
      </c>
      <c r="G227" s="9">
        <f>SQRT(SUMSQ(G6:G225))</f>
        <v/>
      </c>
      <c r="H227" s="9">
        <f>SQRT(SUMSQ(H6:H225))</f>
        <v/>
      </c>
      <c r="I227" s="9">
        <f>SQRT(SUMSQ(I6:I225))</f>
        <v/>
      </c>
      <c r="J227" s="9">
        <f>SQRT(SUMSQ(J6:J225))</f>
        <v/>
      </c>
      <c r="K227" s="9">
        <f>SQRT(SUMSQ(K6:K225))</f>
        <v/>
      </c>
      <c r="L227" s="9">
        <f>SQRT(SUMSQ(L6:L225))</f>
        <v/>
      </c>
      <c r="M227" s="9">
        <f>SQRT(SUMSQ(M6:M225))</f>
        <v/>
      </c>
      <c r="O227" s="4" t="inlineStr">
        <is>
          <t>norma</t>
        </is>
      </c>
      <c r="P227" s="9">
        <f>SQRT(SUMSQ(P6:P225))</f>
        <v/>
      </c>
      <c r="Q227" s="9">
        <f>SQRT(SUMSQ(Q6:Q225))</f>
        <v/>
      </c>
      <c r="R227" s="9">
        <f>SQRT(SUMSQ(R6:R225))</f>
        <v/>
      </c>
      <c r="S227" s="9">
        <f>SQRT(SUMSQ(S6:S225))</f>
        <v/>
      </c>
      <c r="T227" s="9">
        <f>SQRT(SUMSQ(T6:T225))</f>
        <v/>
      </c>
      <c r="U227" s="9">
        <f>SQRT(SUMSQ(U6:U225))</f>
        <v/>
      </c>
      <c r="V227" s="9">
        <f>SQRT(SUMSQ(V6:V225))</f>
        <v/>
      </c>
      <c r="W227" s="9">
        <f>SQRT(SUMSQ(W6:W225))</f>
        <v/>
      </c>
      <c r="X227" s="9">
        <f>SQRT(SUMSQ(X6:X225))</f>
        <v/>
      </c>
      <c r="Y227" s="9">
        <f>SQRT(SUMSQ(Y6:Y225))</f>
        <v/>
      </c>
      <c r="Z227" s="9">
        <f>SQRT(SUMSQ(Z6:Z225))</f>
        <v/>
      </c>
      <c r="AA227" s="9">
        <f>SQRT(SUMSQ(AA6:AA225))</f>
        <v/>
      </c>
      <c r="AB227" s="9">
        <f>SQRT(SUMSQ(AB6:AB225))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6" customWidth="1" min="1" max="1"/>
    <col width="14" customWidth="1" min="2" max="2"/>
    <col width="8" customWidth="1" min="3" max="3"/>
    <col width="16" customWidth="1" min="4" max="4"/>
  </cols>
  <sheetData>
    <row r="1">
      <c r="A1" s="1" t="inlineStr">
        <is>
          <t>6 - Cosine similarity</t>
        </is>
      </c>
    </row>
    <row r="2">
      <c r="A2" s="2" t="inlineStr">
        <is>
          <t>cos(item, profil) = SUMPRODUCT(item ternormalisasi, profil) / (norma item x norma profil). Tiap item sudah L2 = 1, jadi penyebutnya = norma profil. Nilai inilah yang masuk 9_Hybrid.</t>
        </is>
      </c>
    </row>
    <row r="4" ht="30" customHeight="1">
      <c r="A4" s="3" t="inlineStr">
        <is>
          <t>Pos</t>
        </is>
      </c>
      <c r="B4" s="3" t="inlineStr">
        <is>
          <t>nid</t>
        </is>
      </c>
      <c r="C4" s="3" t="inlineStr">
        <is>
          <t>Sesi?</t>
        </is>
      </c>
      <c r="D4" s="3" t="inlineStr">
        <is>
          <t>cos ke profil</t>
        </is>
      </c>
    </row>
    <row r="5">
      <c r="A5" s="5" t="n">
        <v>1</v>
      </c>
      <c r="B5" s="6" t="inlineStr">
        <is>
          <t>I2d5df0726f</t>
        </is>
      </c>
      <c r="C5" s="5" t="inlineStr">
        <is>
          <t>Ya</t>
        </is>
      </c>
      <c r="D5" s="9">
        <f>SUMPRODUCT('5_TFIDF'!$P$6:$P$225,'5_TFIDF'!$AB$6:$AB$225)/('5_TFIDF'!P$227*'5_TFIDF'!AB$227)</f>
        <v/>
      </c>
    </row>
    <row r="6">
      <c r="A6" s="5" t="n">
        <v>2</v>
      </c>
      <c r="B6" s="6" t="inlineStr">
        <is>
          <t>I0f3340d602</t>
        </is>
      </c>
      <c r="C6" s="5" t="inlineStr">
        <is>
          <t>Ya</t>
        </is>
      </c>
      <c r="D6" s="9">
        <f>SUMPRODUCT('5_TFIDF'!$Q$6:$Q$225,'5_TFIDF'!$AB$6:$AB$225)/('5_TFIDF'!Q$227*'5_TFIDF'!AB$227)</f>
        <v/>
      </c>
    </row>
    <row r="7">
      <c r="A7" s="5" t="n">
        <v>3</v>
      </c>
      <c r="B7" s="6" t="inlineStr">
        <is>
          <t>Ic3f4f2512e</t>
        </is>
      </c>
      <c r="C7" s="5" t="inlineStr">
        <is>
          <t>-</t>
        </is>
      </c>
      <c r="D7" s="9">
        <f>SUMPRODUCT('5_TFIDF'!$R$6:$R$225,'5_TFIDF'!$AB$6:$AB$225)/('5_TFIDF'!R$227*'5_TFIDF'!AB$227)</f>
        <v/>
      </c>
    </row>
    <row r="8">
      <c r="A8" s="5" t="n">
        <v>4</v>
      </c>
      <c r="B8" s="6" t="inlineStr">
        <is>
          <t>Ifa9f81c923</t>
        </is>
      </c>
      <c r="C8" s="5" t="inlineStr">
        <is>
          <t>Ya</t>
        </is>
      </c>
      <c r="D8" s="9">
        <f>SUMPRODUCT('5_TFIDF'!$S$6:$S$225,'5_TFIDF'!$AB$6:$AB$225)/('5_TFIDF'!S$227*'5_TFIDF'!AB$227)</f>
        <v/>
      </c>
    </row>
    <row r="9">
      <c r="A9" s="5" t="n">
        <v>5</v>
      </c>
      <c r="B9" s="6" t="inlineStr">
        <is>
          <t>I1d82a5e6ee</t>
        </is>
      </c>
      <c r="C9" s="5" t="inlineStr">
        <is>
          <t>-</t>
        </is>
      </c>
      <c r="D9" s="9">
        <f>SUMPRODUCT('5_TFIDF'!$T$6:$T$225,'5_TFIDF'!$AB$6:$AB$225)/('5_TFIDF'!T$227*'5_TFIDF'!AB$227)</f>
        <v/>
      </c>
    </row>
    <row r="10">
      <c r="A10" s="5" t="n">
        <v>6</v>
      </c>
      <c r="B10" s="6" t="inlineStr">
        <is>
          <t>Ib13654bb81</t>
        </is>
      </c>
      <c r="C10" s="5" t="inlineStr">
        <is>
          <t>-</t>
        </is>
      </c>
      <c r="D10" s="9">
        <f>SUMPRODUCT('5_TFIDF'!$U$6:$U$225,'5_TFIDF'!$AB$6:$AB$225)/('5_TFIDF'!U$227*'5_TFIDF'!AB$227)</f>
        <v/>
      </c>
    </row>
    <row r="11">
      <c r="A11" s="5" t="n">
        <v>7</v>
      </c>
      <c r="B11" s="6" t="inlineStr">
        <is>
          <t>I5259c70cfc</t>
        </is>
      </c>
      <c r="C11" s="5" t="inlineStr">
        <is>
          <t>-</t>
        </is>
      </c>
      <c r="D11" s="9">
        <f>SUMPRODUCT('5_TFIDF'!$V$6:$V$225,'5_TFIDF'!$AB$6:$AB$225)/('5_TFIDF'!V$227*'5_TFIDF'!AB$227)</f>
        <v/>
      </c>
    </row>
    <row r="12">
      <c r="A12" s="5" t="n">
        <v>8</v>
      </c>
      <c r="B12" s="6" t="inlineStr">
        <is>
          <t>I67dbbb2a6e</t>
        </is>
      </c>
      <c r="C12" s="5" t="inlineStr">
        <is>
          <t>-</t>
        </is>
      </c>
      <c r="D12" s="9">
        <f>SUMPRODUCT('5_TFIDF'!$W$6:$W$225,'5_TFIDF'!$AB$6:$AB$225)/('5_TFIDF'!W$227*'5_TFIDF'!AB$227)</f>
        <v/>
      </c>
    </row>
    <row r="13">
      <c r="A13" s="5" t="n">
        <v>9</v>
      </c>
      <c r="B13" s="6" t="inlineStr">
        <is>
          <t>I307e7d7249</t>
        </is>
      </c>
      <c r="C13" s="5" t="inlineStr">
        <is>
          <t>-</t>
        </is>
      </c>
      <c r="D13" s="9">
        <f>SUMPRODUCT('5_TFIDF'!$X$6:$X$225,'5_TFIDF'!$AB$6:$AB$225)/('5_TFIDF'!X$227*'5_TFIDF'!AB$227)</f>
        <v/>
      </c>
    </row>
    <row r="14">
      <c r="A14" s="5" t="n">
        <v>10</v>
      </c>
      <c r="B14" s="6" t="inlineStr">
        <is>
          <t>I99144f9b4e</t>
        </is>
      </c>
      <c r="C14" s="5" t="inlineStr">
        <is>
          <t>-</t>
        </is>
      </c>
      <c r="D14" s="9">
        <f>SUMPRODUCT('5_TFIDF'!$Y$6:$Y$225,'5_TFIDF'!$AB$6:$AB$225)/('5_TFIDF'!Y$227*'5_TFIDF'!AB$227)</f>
        <v/>
      </c>
    </row>
    <row r="15">
      <c r="A15" s="5" t="n">
        <v>11</v>
      </c>
      <c r="B15" s="6" t="inlineStr">
        <is>
          <t>I01684f5bad</t>
        </is>
      </c>
      <c r="C15" s="5" t="inlineStr">
        <is>
          <t>-</t>
        </is>
      </c>
      <c r="D15" s="9">
        <f>SUMPRODUCT('5_TFIDF'!$Z$6:$Z$225,'5_TFIDF'!$AB$6:$AB$225)/('5_TFIDF'!Z$227*'5_TFIDF'!AB$227)</f>
        <v/>
      </c>
    </row>
    <row r="16">
      <c r="A16" s="5" t="n">
        <v>12</v>
      </c>
      <c r="B16" s="6" t="inlineStr">
        <is>
          <t>I18ca3d0ae0</t>
        </is>
      </c>
      <c r="C16" s="5" t="inlineStr">
        <is>
          <t>-</t>
        </is>
      </c>
      <c r="D16" s="9">
        <f>SUMPRODUCT('5_TFIDF'!$AA$6:$AA$225,'5_TFIDF'!$AB$6:$AB$225)/('5_TFIDF'!AA$227*'5_TFIDF'!AB$227)</f>
        <v/>
      </c>
    </row>
    <row r="18">
      <c r="A18" s="10" t="inlineStr">
        <is>
          <t>Matriks kosinus antar artikel - dasar blok 'Berita serupa' (similar(nid))</t>
        </is>
      </c>
    </row>
    <row r="19" ht="30" customHeight="1">
      <c r="A19" s="3" t="inlineStr"/>
      <c r="B19" s="3" t="inlineStr">
        <is>
          <t>pos 1</t>
        </is>
      </c>
      <c r="C19" s="3" t="inlineStr">
        <is>
          <t>pos 2</t>
        </is>
      </c>
      <c r="D19" s="3" t="inlineStr">
        <is>
          <t>pos 3</t>
        </is>
      </c>
      <c r="E19" s="3" t="inlineStr">
        <is>
          <t>pos 4</t>
        </is>
      </c>
      <c r="F19" s="3" t="inlineStr">
        <is>
          <t>pos 5</t>
        </is>
      </c>
      <c r="G19" s="3" t="inlineStr">
        <is>
          <t>pos 6</t>
        </is>
      </c>
      <c r="H19" s="3" t="inlineStr">
        <is>
          <t>pos 7</t>
        </is>
      </c>
      <c r="I19" s="3" t="inlineStr">
        <is>
          <t>pos 8</t>
        </is>
      </c>
      <c r="J19" s="3" t="inlineStr">
        <is>
          <t>pos 9</t>
        </is>
      </c>
      <c r="K19" s="3" t="inlineStr">
        <is>
          <t>pos 10</t>
        </is>
      </c>
      <c r="L19" s="3" t="inlineStr">
        <is>
          <t>pos 11</t>
        </is>
      </c>
      <c r="M19" s="3" t="inlineStr">
        <is>
          <t>pos 12</t>
        </is>
      </c>
    </row>
    <row r="20">
      <c r="A20" s="4" t="inlineStr">
        <is>
          <t>pos 1</t>
        </is>
      </c>
      <c r="B20" s="9">
        <f>SUMPRODUCT('5_TFIDF'!$P$6:$P$225,'5_TFIDF'!$P$6:$P$225)/('5_TFIDF'!P$227*'5_TFIDF'!P$227)</f>
        <v/>
      </c>
      <c r="C20" s="9">
        <f>SUMPRODUCT('5_TFIDF'!$P$6:$P$225,'5_TFIDF'!$Q$6:$Q$225)/('5_TFIDF'!P$227*'5_TFIDF'!Q$227)</f>
        <v/>
      </c>
      <c r="D20" s="9">
        <f>SUMPRODUCT('5_TFIDF'!$P$6:$P$225,'5_TFIDF'!$R$6:$R$225)/('5_TFIDF'!P$227*'5_TFIDF'!R$227)</f>
        <v/>
      </c>
      <c r="E20" s="9">
        <f>SUMPRODUCT('5_TFIDF'!$P$6:$P$225,'5_TFIDF'!$S$6:$S$225)/('5_TFIDF'!P$227*'5_TFIDF'!S$227)</f>
        <v/>
      </c>
      <c r="F20" s="9">
        <f>SUMPRODUCT('5_TFIDF'!$P$6:$P$225,'5_TFIDF'!$T$6:$T$225)/('5_TFIDF'!P$227*'5_TFIDF'!T$227)</f>
        <v/>
      </c>
      <c r="G20" s="9">
        <f>SUMPRODUCT('5_TFIDF'!$P$6:$P$225,'5_TFIDF'!$U$6:$U$225)/('5_TFIDF'!P$227*'5_TFIDF'!U$227)</f>
        <v/>
      </c>
      <c r="H20" s="9">
        <f>SUMPRODUCT('5_TFIDF'!$P$6:$P$225,'5_TFIDF'!$V$6:$V$225)/('5_TFIDF'!P$227*'5_TFIDF'!V$227)</f>
        <v/>
      </c>
      <c r="I20" s="9">
        <f>SUMPRODUCT('5_TFIDF'!$P$6:$P$225,'5_TFIDF'!$W$6:$W$225)/('5_TFIDF'!P$227*'5_TFIDF'!W$227)</f>
        <v/>
      </c>
      <c r="J20" s="9">
        <f>SUMPRODUCT('5_TFIDF'!$P$6:$P$225,'5_TFIDF'!$X$6:$X$225)/('5_TFIDF'!P$227*'5_TFIDF'!X$227)</f>
        <v/>
      </c>
      <c r="K20" s="9">
        <f>SUMPRODUCT('5_TFIDF'!$P$6:$P$225,'5_TFIDF'!$Y$6:$Y$225)/('5_TFIDF'!P$227*'5_TFIDF'!Y$227)</f>
        <v/>
      </c>
      <c r="L20" s="9">
        <f>SUMPRODUCT('5_TFIDF'!$P$6:$P$225,'5_TFIDF'!$Z$6:$Z$225)/('5_TFIDF'!P$227*'5_TFIDF'!Z$227)</f>
        <v/>
      </c>
      <c r="M20" s="9">
        <f>SUMPRODUCT('5_TFIDF'!$P$6:$P$225,'5_TFIDF'!$AA$6:$AA$225)/('5_TFIDF'!P$227*'5_TFIDF'!AA$227)</f>
        <v/>
      </c>
    </row>
    <row r="21">
      <c r="A21" s="4" t="inlineStr">
        <is>
          <t>pos 2</t>
        </is>
      </c>
      <c r="B21" s="9">
        <f>SUMPRODUCT('5_TFIDF'!$Q$6:$Q$225,'5_TFIDF'!$P$6:$P$225)/('5_TFIDF'!Q$227*'5_TFIDF'!P$227)</f>
        <v/>
      </c>
      <c r="C21" s="9">
        <f>SUMPRODUCT('5_TFIDF'!$Q$6:$Q$225,'5_TFIDF'!$Q$6:$Q$225)/('5_TFIDF'!Q$227*'5_TFIDF'!Q$227)</f>
        <v/>
      </c>
      <c r="D21" s="9">
        <f>SUMPRODUCT('5_TFIDF'!$Q$6:$Q$225,'5_TFIDF'!$R$6:$R$225)/('5_TFIDF'!Q$227*'5_TFIDF'!R$227)</f>
        <v/>
      </c>
      <c r="E21" s="9">
        <f>SUMPRODUCT('5_TFIDF'!$Q$6:$Q$225,'5_TFIDF'!$S$6:$S$225)/('5_TFIDF'!Q$227*'5_TFIDF'!S$227)</f>
        <v/>
      </c>
      <c r="F21" s="9">
        <f>SUMPRODUCT('5_TFIDF'!$Q$6:$Q$225,'5_TFIDF'!$T$6:$T$225)/('5_TFIDF'!Q$227*'5_TFIDF'!T$227)</f>
        <v/>
      </c>
      <c r="G21" s="9">
        <f>SUMPRODUCT('5_TFIDF'!$Q$6:$Q$225,'5_TFIDF'!$U$6:$U$225)/('5_TFIDF'!Q$227*'5_TFIDF'!U$227)</f>
        <v/>
      </c>
      <c r="H21" s="9">
        <f>SUMPRODUCT('5_TFIDF'!$Q$6:$Q$225,'5_TFIDF'!$V$6:$V$225)/('5_TFIDF'!Q$227*'5_TFIDF'!V$227)</f>
        <v/>
      </c>
      <c r="I21" s="9">
        <f>SUMPRODUCT('5_TFIDF'!$Q$6:$Q$225,'5_TFIDF'!$W$6:$W$225)/('5_TFIDF'!Q$227*'5_TFIDF'!W$227)</f>
        <v/>
      </c>
      <c r="J21" s="9">
        <f>SUMPRODUCT('5_TFIDF'!$Q$6:$Q$225,'5_TFIDF'!$X$6:$X$225)/('5_TFIDF'!Q$227*'5_TFIDF'!X$227)</f>
        <v/>
      </c>
      <c r="K21" s="9">
        <f>SUMPRODUCT('5_TFIDF'!$Q$6:$Q$225,'5_TFIDF'!$Y$6:$Y$225)/('5_TFIDF'!Q$227*'5_TFIDF'!Y$227)</f>
        <v/>
      </c>
      <c r="L21" s="9">
        <f>SUMPRODUCT('5_TFIDF'!$Q$6:$Q$225,'5_TFIDF'!$Z$6:$Z$225)/('5_TFIDF'!Q$227*'5_TFIDF'!Z$227)</f>
        <v/>
      </c>
      <c r="M21" s="9">
        <f>SUMPRODUCT('5_TFIDF'!$Q$6:$Q$225,'5_TFIDF'!$AA$6:$AA$225)/('5_TFIDF'!Q$227*'5_TFIDF'!AA$227)</f>
        <v/>
      </c>
    </row>
    <row r="22">
      <c r="A22" s="4" t="inlineStr">
        <is>
          <t>pos 3</t>
        </is>
      </c>
      <c r="B22" s="9">
        <f>SUMPRODUCT('5_TFIDF'!$R$6:$R$225,'5_TFIDF'!$P$6:$P$225)/('5_TFIDF'!R$227*'5_TFIDF'!P$227)</f>
        <v/>
      </c>
      <c r="C22" s="9">
        <f>SUMPRODUCT('5_TFIDF'!$R$6:$R$225,'5_TFIDF'!$Q$6:$Q$225)/('5_TFIDF'!R$227*'5_TFIDF'!Q$227)</f>
        <v/>
      </c>
      <c r="D22" s="9">
        <f>SUMPRODUCT('5_TFIDF'!$R$6:$R$225,'5_TFIDF'!$R$6:$R$225)/('5_TFIDF'!R$227*'5_TFIDF'!R$227)</f>
        <v/>
      </c>
      <c r="E22" s="9">
        <f>SUMPRODUCT('5_TFIDF'!$R$6:$R$225,'5_TFIDF'!$S$6:$S$225)/('5_TFIDF'!R$227*'5_TFIDF'!S$227)</f>
        <v/>
      </c>
      <c r="F22" s="9">
        <f>SUMPRODUCT('5_TFIDF'!$R$6:$R$225,'5_TFIDF'!$T$6:$T$225)/('5_TFIDF'!R$227*'5_TFIDF'!T$227)</f>
        <v/>
      </c>
      <c r="G22" s="9">
        <f>SUMPRODUCT('5_TFIDF'!$R$6:$R$225,'5_TFIDF'!$U$6:$U$225)/('5_TFIDF'!R$227*'5_TFIDF'!U$227)</f>
        <v/>
      </c>
      <c r="H22" s="9">
        <f>SUMPRODUCT('5_TFIDF'!$R$6:$R$225,'5_TFIDF'!$V$6:$V$225)/('5_TFIDF'!R$227*'5_TFIDF'!V$227)</f>
        <v/>
      </c>
      <c r="I22" s="9">
        <f>SUMPRODUCT('5_TFIDF'!$R$6:$R$225,'5_TFIDF'!$W$6:$W$225)/('5_TFIDF'!R$227*'5_TFIDF'!W$227)</f>
        <v/>
      </c>
      <c r="J22" s="9">
        <f>SUMPRODUCT('5_TFIDF'!$R$6:$R$225,'5_TFIDF'!$X$6:$X$225)/('5_TFIDF'!R$227*'5_TFIDF'!X$227)</f>
        <v/>
      </c>
      <c r="K22" s="9">
        <f>SUMPRODUCT('5_TFIDF'!$R$6:$R$225,'5_TFIDF'!$Y$6:$Y$225)/('5_TFIDF'!R$227*'5_TFIDF'!Y$227)</f>
        <v/>
      </c>
      <c r="L22" s="9">
        <f>SUMPRODUCT('5_TFIDF'!$R$6:$R$225,'5_TFIDF'!$Z$6:$Z$225)/('5_TFIDF'!R$227*'5_TFIDF'!Z$227)</f>
        <v/>
      </c>
      <c r="M22" s="9">
        <f>SUMPRODUCT('5_TFIDF'!$R$6:$R$225,'5_TFIDF'!$AA$6:$AA$225)/('5_TFIDF'!R$227*'5_TFIDF'!AA$227)</f>
        <v/>
      </c>
    </row>
    <row r="23">
      <c r="A23" s="4" t="inlineStr">
        <is>
          <t>pos 4</t>
        </is>
      </c>
      <c r="B23" s="9">
        <f>SUMPRODUCT('5_TFIDF'!$S$6:$S$225,'5_TFIDF'!$P$6:$P$225)/('5_TFIDF'!S$227*'5_TFIDF'!P$227)</f>
        <v/>
      </c>
      <c r="C23" s="9">
        <f>SUMPRODUCT('5_TFIDF'!$S$6:$S$225,'5_TFIDF'!$Q$6:$Q$225)/('5_TFIDF'!S$227*'5_TFIDF'!Q$227)</f>
        <v/>
      </c>
      <c r="D23" s="9">
        <f>SUMPRODUCT('5_TFIDF'!$S$6:$S$225,'5_TFIDF'!$R$6:$R$225)/('5_TFIDF'!S$227*'5_TFIDF'!R$227)</f>
        <v/>
      </c>
      <c r="E23" s="9">
        <f>SUMPRODUCT('5_TFIDF'!$S$6:$S$225,'5_TFIDF'!$S$6:$S$225)/('5_TFIDF'!S$227*'5_TFIDF'!S$227)</f>
        <v/>
      </c>
      <c r="F23" s="9">
        <f>SUMPRODUCT('5_TFIDF'!$S$6:$S$225,'5_TFIDF'!$T$6:$T$225)/('5_TFIDF'!S$227*'5_TFIDF'!T$227)</f>
        <v/>
      </c>
      <c r="G23" s="9">
        <f>SUMPRODUCT('5_TFIDF'!$S$6:$S$225,'5_TFIDF'!$U$6:$U$225)/('5_TFIDF'!S$227*'5_TFIDF'!U$227)</f>
        <v/>
      </c>
      <c r="H23" s="9">
        <f>SUMPRODUCT('5_TFIDF'!$S$6:$S$225,'5_TFIDF'!$V$6:$V$225)/('5_TFIDF'!S$227*'5_TFIDF'!V$227)</f>
        <v/>
      </c>
      <c r="I23" s="9">
        <f>SUMPRODUCT('5_TFIDF'!$S$6:$S$225,'5_TFIDF'!$W$6:$W$225)/('5_TFIDF'!S$227*'5_TFIDF'!W$227)</f>
        <v/>
      </c>
      <c r="J23" s="9">
        <f>SUMPRODUCT('5_TFIDF'!$S$6:$S$225,'5_TFIDF'!$X$6:$X$225)/('5_TFIDF'!S$227*'5_TFIDF'!X$227)</f>
        <v/>
      </c>
      <c r="K23" s="9">
        <f>SUMPRODUCT('5_TFIDF'!$S$6:$S$225,'5_TFIDF'!$Y$6:$Y$225)/('5_TFIDF'!S$227*'5_TFIDF'!Y$227)</f>
        <v/>
      </c>
      <c r="L23" s="9">
        <f>SUMPRODUCT('5_TFIDF'!$S$6:$S$225,'5_TFIDF'!$Z$6:$Z$225)/('5_TFIDF'!S$227*'5_TFIDF'!Z$227)</f>
        <v/>
      </c>
      <c r="M23" s="9">
        <f>SUMPRODUCT('5_TFIDF'!$S$6:$S$225,'5_TFIDF'!$AA$6:$AA$225)/('5_TFIDF'!S$227*'5_TFIDF'!AA$227)</f>
        <v/>
      </c>
    </row>
    <row r="24">
      <c r="A24" s="4" t="inlineStr">
        <is>
          <t>pos 5</t>
        </is>
      </c>
      <c r="B24" s="9">
        <f>SUMPRODUCT('5_TFIDF'!$T$6:$T$225,'5_TFIDF'!$P$6:$P$225)/('5_TFIDF'!T$227*'5_TFIDF'!P$227)</f>
        <v/>
      </c>
      <c r="C24" s="9">
        <f>SUMPRODUCT('5_TFIDF'!$T$6:$T$225,'5_TFIDF'!$Q$6:$Q$225)/('5_TFIDF'!T$227*'5_TFIDF'!Q$227)</f>
        <v/>
      </c>
      <c r="D24" s="9">
        <f>SUMPRODUCT('5_TFIDF'!$T$6:$T$225,'5_TFIDF'!$R$6:$R$225)/('5_TFIDF'!T$227*'5_TFIDF'!R$227)</f>
        <v/>
      </c>
      <c r="E24" s="9">
        <f>SUMPRODUCT('5_TFIDF'!$T$6:$T$225,'5_TFIDF'!$S$6:$S$225)/('5_TFIDF'!T$227*'5_TFIDF'!S$227)</f>
        <v/>
      </c>
      <c r="F24" s="9">
        <f>SUMPRODUCT('5_TFIDF'!$T$6:$T$225,'5_TFIDF'!$T$6:$T$225)/('5_TFIDF'!T$227*'5_TFIDF'!T$227)</f>
        <v/>
      </c>
      <c r="G24" s="9">
        <f>SUMPRODUCT('5_TFIDF'!$T$6:$T$225,'5_TFIDF'!$U$6:$U$225)/('5_TFIDF'!T$227*'5_TFIDF'!U$227)</f>
        <v/>
      </c>
      <c r="H24" s="9">
        <f>SUMPRODUCT('5_TFIDF'!$T$6:$T$225,'5_TFIDF'!$V$6:$V$225)/('5_TFIDF'!T$227*'5_TFIDF'!V$227)</f>
        <v/>
      </c>
      <c r="I24" s="9">
        <f>SUMPRODUCT('5_TFIDF'!$T$6:$T$225,'5_TFIDF'!$W$6:$W$225)/('5_TFIDF'!T$227*'5_TFIDF'!W$227)</f>
        <v/>
      </c>
      <c r="J24" s="9">
        <f>SUMPRODUCT('5_TFIDF'!$T$6:$T$225,'5_TFIDF'!$X$6:$X$225)/('5_TFIDF'!T$227*'5_TFIDF'!X$227)</f>
        <v/>
      </c>
      <c r="K24" s="9">
        <f>SUMPRODUCT('5_TFIDF'!$T$6:$T$225,'5_TFIDF'!$Y$6:$Y$225)/('5_TFIDF'!T$227*'5_TFIDF'!Y$227)</f>
        <v/>
      </c>
      <c r="L24" s="9">
        <f>SUMPRODUCT('5_TFIDF'!$T$6:$T$225,'5_TFIDF'!$Z$6:$Z$225)/('5_TFIDF'!T$227*'5_TFIDF'!Z$227)</f>
        <v/>
      </c>
      <c r="M24" s="9">
        <f>SUMPRODUCT('5_TFIDF'!$T$6:$T$225,'5_TFIDF'!$AA$6:$AA$225)/('5_TFIDF'!T$227*'5_TFIDF'!AA$227)</f>
        <v/>
      </c>
    </row>
    <row r="25">
      <c r="A25" s="4" t="inlineStr">
        <is>
          <t>pos 6</t>
        </is>
      </c>
      <c r="B25" s="9">
        <f>SUMPRODUCT('5_TFIDF'!$U$6:$U$225,'5_TFIDF'!$P$6:$P$225)/('5_TFIDF'!U$227*'5_TFIDF'!P$227)</f>
        <v/>
      </c>
      <c r="C25" s="9">
        <f>SUMPRODUCT('5_TFIDF'!$U$6:$U$225,'5_TFIDF'!$Q$6:$Q$225)/('5_TFIDF'!U$227*'5_TFIDF'!Q$227)</f>
        <v/>
      </c>
      <c r="D25" s="9">
        <f>SUMPRODUCT('5_TFIDF'!$U$6:$U$225,'5_TFIDF'!$R$6:$R$225)/('5_TFIDF'!U$227*'5_TFIDF'!R$227)</f>
        <v/>
      </c>
      <c r="E25" s="9">
        <f>SUMPRODUCT('5_TFIDF'!$U$6:$U$225,'5_TFIDF'!$S$6:$S$225)/('5_TFIDF'!U$227*'5_TFIDF'!S$227)</f>
        <v/>
      </c>
      <c r="F25" s="9">
        <f>SUMPRODUCT('5_TFIDF'!$U$6:$U$225,'5_TFIDF'!$T$6:$T$225)/('5_TFIDF'!U$227*'5_TFIDF'!T$227)</f>
        <v/>
      </c>
      <c r="G25" s="9">
        <f>SUMPRODUCT('5_TFIDF'!$U$6:$U$225,'5_TFIDF'!$U$6:$U$225)/('5_TFIDF'!U$227*'5_TFIDF'!U$227)</f>
        <v/>
      </c>
      <c r="H25" s="9">
        <f>SUMPRODUCT('5_TFIDF'!$U$6:$U$225,'5_TFIDF'!$V$6:$V$225)/('5_TFIDF'!U$227*'5_TFIDF'!V$227)</f>
        <v/>
      </c>
      <c r="I25" s="9">
        <f>SUMPRODUCT('5_TFIDF'!$U$6:$U$225,'5_TFIDF'!$W$6:$W$225)/('5_TFIDF'!U$227*'5_TFIDF'!W$227)</f>
        <v/>
      </c>
      <c r="J25" s="9">
        <f>SUMPRODUCT('5_TFIDF'!$U$6:$U$225,'5_TFIDF'!$X$6:$X$225)/('5_TFIDF'!U$227*'5_TFIDF'!X$227)</f>
        <v/>
      </c>
      <c r="K25" s="9">
        <f>SUMPRODUCT('5_TFIDF'!$U$6:$U$225,'5_TFIDF'!$Y$6:$Y$225)/('5_TFIDF'!U$227*'5_TFIDF'!Y$227)</f>
        <v/>
      </c>
      <c r="L25" s="9">
        <f>SUMPRODUCT('5_TFIDF'!$U$6:$U$225,'5_TFIDF'!$Z$6:$Z$225)/('5_TFIDF'!U$227*'5_TFIDF'!Z$227)</f>
        <v/>
      </c>
      <c r="M25" s="9">
        <f>SUMPRODUCT('5_TFIDF'!$U$6:$U$225,'5_TFIDF'!$AA$6:$AA$225)/('5_TFIDF'!U$227*'5_TFIDF'!AA$227)</f>
        <v/>
      </c>
    </row>
    <row r="26">
      <c r="A26" s="4" t="inlineStr">
        <is>
          <t>pos 7</t>
        </is>
      </c>
      <c r="B26" s="9">
        <f>SUMPRODUCT('5_TFIDF'!$V$6:$V$225,'5_TFIDF'!$P$6:$P$225)/('5_TFIDF'!V$227*'5_TFIDF'!P$227)</f>
        <v/>
      </c>
      <c r="C26" s="9">
        <f>SUMPRODUCT('5_TFIDF'!$V$6:$V$225,'5_TFIDF'!$Q$6:$Q$225)/('5_TFIDF'!V$227*'5_TFIDF'!Q$227)</f>
        <v/>
      </c>
      <c r="D26" s="9">
        <f>SUMPRODUCT('5_TFIDF'!$V$6:$V$225,'5_TFIDF'!$R$6:$R$225)/('5_TFIDF'!V$227*'5_TFIDF'!R$227)</f>
        <v/>
      </c>
      <c r="E26" s="9">
        <f>SUMPRODUCT('5_TFIDF'!$V$6:$V$225,'5_TFIDF'!$S$6:$S$225)/('5_TFIDF'!V$227*'5_TFIDF'!S$227)</f>
        <v/>
      </c>
      <c r="F26" s="9">
        <f>SUMPRODUCT('5_TFIDF'!$V$6:$V$225,'5_TFIDF'!$T$6:$T$225)/('5_TFIDF'!V$227*'5_TFIDF'!T$227)</f>
        <v/>
      </c>
      <c r="G26" s="9">
        <f>SUMPRODUCT('5_TFIDF'!$V$6:$V$225,'5_TFIDF'!$U$6:$U$225)/('5_TFIDF'!V$227*'5_TFIDF'!U$227)</f>
        <v/>
      </c>
      <c r="H26" s="9">
        <f>SUMPRODUCT('5_TFIDF'!$V$6:$V$225,'5_TFIDF'!$V$6:$V$225)/('5_TFIDF'!V$227*'5_TFIDF'!V$227)</f>
        <v/>
      </c>
      <c r="I26" s="9">
        <f>SUMPRODUCT('5_TFIDF'!$V$6:$V$225,'5_TFIDF'!$W$6:$W$225)/('5_TFIDF'!V$227*'5_TFIDF'!W$227)</f>
        <v/>
      </c>
      <c r="J26" s="9">
        <f>SUMPRODUCT('5_TFIDF'!$V$6:$V$225,'5_TFIDF'!$X$6:$X$225)/('5_TFIDF'!V$227*'5_TFIDF'!X$227)</f>
        <v/>
      </c>
      <c r="K26" s="9">
        <f>SUMPRODUCT('5_TFIDF'!$V$6:$V$225,'5_TFIDF'!$Y$6:$Y$225)/('5_TFIDF'!V$227*'5_TFIDF'!Y$227)</f>
        <v/>
      </c>
      <c r="L26" s="9">
        <f>SUMPRODUCT('5_TFIDF'!$V$6:$V$225,'5_TFIDF'!$Z$6:$Z$225)/('5_TFIDF'!V$227*'5_TFIDF'!Z$227)</f>
        <v/>
      </c>
      <c r="M26" s="9">
        <f>SUMPRODUCT('5_TFIDF'!$V$6:$V$225,'5_TFIDF'!$AA$6:$AA$225)/('5_TFIDF'!V$227*'5_TFIDF'!AA$227)</f>
        <v/>
      </c>
    </row>
    <row r="27">
      <c r="A27" s="4" t="inlineStr">
        <is>
          <t>pos 8</t>
        </is>
      </c>
      <c r="B27" s="9">
        <f>SUMPRODUCT('5_TFIDF'!$W$6:$W$225,'5_TFIDF'!$P$6:$P$225)/('5_TFIDF'!W$227*'5_TFIDF'!P$227)</f>
        <v/>
      </c>
      <c r="C27" s="9">
        <f>SUMPRODUCT('5_TFIDF'!$W$6:$W$225,'5_TFIDF'!$Q$6:$Q$225)/('5_TFIDF'!W$227*'5_TFIDF'!Q$227)</f>
        <v/>
      </c>
      <c r="D27" s="9">
        <f>SUMPRODUCT('5_TFIDF'!$W$6:$W$225,'5_TFIDF'!$R$6:$R$225)/('5_TFIDF'!W$227*'5_TFIDF'!R$227)</f>
        <v/>
      </c>
      <c r="E27" s="9">
        <f>SUMPRODUCT('5_TFIDF'!$W$6:$W$225,'5_TFIDF'!$S$6:$S$225)/('5_TFIDF'!W$227*'5_TFIDF'!S$227)</f>
        <v/>
      </c>
      <c r="F27" s="9">
        <f>SUMPRODUCT('5_TFIDF'!$W$6:$W$225,'5_TFIDF'!$T$6:$T$225)/('5_TFIDF'!W$227*'5_TFIDF'!T$227)</f>
        <v/>
      </c>
      <c r="G27" s="9">
        <f>SUMPRODUCT('5_TFIDF'!$W$6:$W$225,'5_TFIDF'!$U$6:$U$225)/('5_TFIDF'!W$227*'5_TFIDF'!U$227)</f>
        <v/>
      </c>
      <c r="H27" s="9">
        <f>SUMPRODUCT('5_TFIDF'!$W$6:$W$225,'5_TFIDF'!$V$6:$V$225)/('5_TFIDF'!W$227*'5_TFIDF'!V$227)</f>
        <v/>
      </c>
      <c r="I27" s="9">
        <f>SUMPRODUCT('5_TFIDF'!$W$6:$W$225,'5_TFIDF'!$W$6:$W$225)/('5_TFIDF'!W$227*'5_TFIDF'!W$227)</f>
        <v/>
      </c>
      <c r="J27" s="9">
        <f>SUMPRODUCT('5_TFIDF'!$W$6:$W$225,'5_TFIDF'!$X$6:$X$225)/('5_TFIDF'!W$227*'5_TFIDF'!X$227)</f>
        <v/>
      </c>
      <c r="K27" s="9">
        <f>SUMPRODUCT('5_TFIDF'!$W$6:$W$225,'5_TFIDF'!$Y$6:$Y$225)/('5_TFIDF'!W$227*'5_TFIDF'!Y$227)</f>
        <v/>
      </c>
      <c r="L27" s="9">
        <f>SUMPRODUCT('5_TFIDF'!$W$6:$W$225,'5_TFIDF'!$Z$6:$Z$225)/('5_TFIDF'!W$227*'5_TFIDF'!Z$227)</f>
        <v/>
      </c>
      <c r="M27" s="9">
        <f>SUMPRODUCT('5_TFIDF'!$W$6:$W$225,'5_TFIDF'!$AA$6:$AA$225)/('5_TFIDF'!W$227*'5_TFIDF'!AA$227)</f>
        <v/>
      </c>
    </row>
    <row r="28">
      <c r="A28" s="4" t="inlineStr">
        <is>
          <t>pos 9</t>
        </is>
      </c>
      <c r="B28" s="9">
        <f>SUMPRODUCT('5_TFIDF'!$X$6:$X$225,'5_TFIDF'!$P$6:$P$225)/('5_TFIDF'!X$227*'5_TFIDF'!P$227)</f>
        <v/>
      </c>
      <c r="C28" s="9">
        <f>SUMPRODUCT('5_TFIDF'!$X$6:$X$225,'5_TFIDF'!$Q$6:$Q$225)/('5_TFIDF'!X$227*'5_TFIDF'!Q$227)</f>
        <v/>
      </c>
      <c r="D28" s="9">
        <f>SUMPRODUCT('5_TFIDF'!$X$6:$X$225,'5_TFIDF'!$R$6:$R$225)/('5_TFIDF'!X$227*'5_TFIDF'!R$227)</f>
        <v/>
      </c>
      <c r="E28" s="9">
        <f>SUMPRODUCT('5_TFIDF'!$X$6:$X$225,'5_TFIDF'!$S$6:$S$225)/('5_TFIDF'!X$227*'5_TFIDF'!S$227)</f>
        <v/>
      </c>
      <c r="F28" s="9">
        <f>SUMPRODUCT('5_TFIDF'!$X$6:$X$225,'5_TFIDF'!$T$6:$T$225)/('5_TFIDF'!X$227*'5_TFIDF'!T$227)</f>
        <v/>
      </c>
      <c r="G28" s="9">
        <f>SUMPRODUCT('5_TFIDF'!$X$6:$X$225,'5_TFIDF'!$U$6:$U$225)/('5_TFIDF'!X$227*'5_TFIDF'!U$227)</f>
        <v/>
      </c>
      <c r="H28" s="9">
        <f>SUMPRODUCT('5_TFIDF'!$X$6:$X$225,'5_TFIDF'!$V$6:$V$225)/('5_TFIDF'!X$227*'5_TFIDF'!V$227)</f>
        <v/>
      </c>
      <c r="I28" s="9">
        <f>SUMPRODUCT('5_TFIDF'!$X$6:$X$225,'5_TFIDF'!$W$6:$W$225)/('5_TFIDF'!X$227*'5_TFIDF'!W$227)</f>
        <v/>
      </c>
      <c r="J28" s="9">
        <f>SUMPRODUCT('5_TFIDF'!$X$6:$X$225,'5_TFIDF'!$X$6:$X$225)/('5_TFIDF'!X$227*'5_TFIDF'!X$227)</f>
        <v/>
      </c>
      <c r="K28" s="9">
        <f>SUMPRODUCT('5_TFIDF'!$X$6:$X$225,'5_TFIDF'!$Y$6:$Y$225)/('5_TFIDF'!X$227*'5_TFIDF'!Y$227)</f>
        <v/>
      </c>
      <c r="L28" s="9">
        <f>SUMPRODUCT('5_TFIDF'!$X$6:$X$225,'5_TFIDF'!$Z$6:$Z$225)/('5_TFIDF'!X$227*'5_TFIDF'!Z$227)</f>
        <v/>
      </c>
      <c r="M28" s="9">
        <f>SUMPRODUCT('5_TFIDF'!$X$6:$X$225,'5_TFIDF'!$AA$6:$AA$225)/('5_TFIDF'!X$227*'5_TFIDF'!AA$227)</f>
        <v/>
      </c>
    </row>
    <row r="29">
      <c r="A29" s="4" t="inlineStr">
        <is>
          <t>pos 10</t>
        </is>
      </c>
      <c r="B29" s="9">
        <f>SUMPRODUCT('5_TFIDF'!$Y$6:$Y$225,'5_TFIDF'!$P$6:$P$225)/('5_TFIDF'!Y$227*'5_TFIDF'!P$227)</f>
        <v/>
      </c>
      <c r="C29" s="9">
        <f>SUMPRODUCT('5_TFIDF'!$Y$6:$Y$225,'5_TFIDF'!$Q$6:$Q$225)/('5_TFIDF'!Y$227*'5_TFIDF'!Q$227)</f>
        <v/>
      </c>
      <c r="D29" s="9">
        <f>SUMPRODUCT('5_TFIDF'!$Y$6:$Y$225,'5_TFIDF'!$R$6:$R$225)/('5_TFIDF'!Y$227*'5_TFIDF'!R$227)</f>
        <v/>
      </c>
      <c r="E29" s="9">
        <f>SUMPRODUCT('5_TFIDF'!$Y$6:$Y$225,'5_TFIDF'!$S$6:$S$225)/('5_TFIDF'!Y$227*'5_TFIDF'!S$227)</f>
        <v/>
      </c>
      <c r="F29" s="9">
        <f>SUMPRODUCT('5_TFIDF'!$Y$6:$Y$225,'5_TFIDF'!$T$6:$T$225)/('5_TFIDF'!Y$227*'5_TFIDF'!T$227)</f>
        <v/>
      </c>
      <c r="G29" s="9">
        <f>SUMPRODUCT('5_TFIDF'!$Y$6:$Y$225,'5_TFIDF'!$U$6:$U$225)/('5_TFIDF'!Y$227*'5_TFIDF'!U$227)</f>
        <v/>
      </c>
      <c r="H29" s="9">
        <f>SUMPRODUCT('5_TFIDF'!$Y$6:$Y$225,'5_TFIDF'!$V$6:$V$225)/('5_TFIDF'!Y$227*'5_TFIDF'!V$227)</f>
        <v/>
      </c>
      <c r="I29" s="9">
        <f>SUMPRODUCT('5_TFIDF'!$Y$6:$Y$225,'5_TFIDF'!$W$6:$W$225)/('5_TFIDF'!Y$227*'5_TFIDF'!W$227)</f>
        <v/>
      </c>
      <c r="J29" s="9">
        <f>SUMPRODUCT('5_TFIDF'!$Y$6:$Y$225,'5_TFIDF'!$X$6:$X$225)/('5_TFIDF'!Y$227*'5_TFIDF'!X$227)</f>
        <v/>
      </c>
      <c r="K29" s="9">
        <f>SUMPRODUCT('5_TFIDF'!$Y$6:$Y$225,'5_TFIDF'!$Y$6:$Y$225)/('5_TFIDF'!Y$227*'5_TFIDF'!Y$227)</f>
        <v/>
      </c>
      <c r="L29" s="9">
        <f>SUMPRODUCT('5_TFIDF'!$Y$6:$Y$225,'5_TFIDF'!$Z$6:$Z$225)/('5_TFIDF'!Y$227*'5_TFIDF'!Z$227)</f>
        <v/>
      </c>
      <c r="M29" s="9">
        <f>SUMPRODUCT('5_TFIDF'!$Y$6:$Y$225,'5_TFIDF'!$AA$6:$AA$225)/('5_TFIDF'!Y$227*'5_TFIDF'!AA$227)</f>
        <v/>
      </c>
    </row>
    <row r="30">
      <c r="A30" s="4" t="inlineStr">
        <is>
          <t>pos 11</t>
        </is>
      </c>
      <c r="B30" s="9">
        <f>SUMPRODUCT('5_TFIDF'!$Z$6:$Z$225,'5_TFIDF'!$P$6:$P$225)/('5_TFIDF'!Z$227*'5_TFIDF'!P$227)</f>
        <v/>
      </c>
      <c r="C30" s="9">
        <f>SUMPRODUCT('5_TFIDF'!$Z$6:$Z$225,'5_TFIDF'!$Q$6:$Q$225)/('5_TFIDF'!Z$227*'5_TFIDF'!Q$227)</f>
        <v/>
      </c>
      <c r="D30" s="9">
        <f>SUMPRODUCT('5_TFIDF'!$Z$6:$Z$225,'5_TFIDF'!$R$6:$R$225)/('5_TFIDF'!Z$227*'5_TFIDF'!R$227)</f>
        <v/>
      </c>
      <c r="E30" s="9">
        <f>SUMPRODUCT('5_TFIDF'!$Z$6:$Z$225,'5_TFIDF'!$S$6:$S$225)/('5_TFIDF'!Z$227*'5_TFIDF'!S$227)</f>
        <v/>
      </c>
      <c r="F30" s="9">
        <f>SUMPRODUCT('5_TFIDF'!$Z$6:$Z$225,'5_TFIDF'!$T$6:$T$225)/('5_TFIDF'!Z$227*'5_TFIDF'!T$227)</f>
        <v/>
      </c>
      <c r="G30" s="9">
        <f>SUMPRODUCT('5_TFIDF'!$Z$6:$Z$225,'5_TFIDF'!$U$6:$U$225)/('5_TFIDF'!Z$227*'5_TFIDF'!U$227)</f>
        <v/>
      </c>
      <c r="H30" s="9">
        <f>SUMPRODUCT('5_TFIDF'!$Z$6:$Z$225,'5_TFIDF'!$V$6:$V$225)/('5_TFIDF'!Z$227*'5_TFIDF'!V$227)</f>
        <v/>
      </c>
      <c r="I30" s="9">
        <f>SUMPRODUCT('5_TFIDF'!$Z$6:$Z$225,'5_TFIDF'!$W$6:$W$225)/('5_TFIDF'!Z$227*'5_TFIDF'!W$227)</f>
        <v/>
      </c>
      <c r="J30" s="9">
        <f>SUMPRODUCT('5_TFIDF'!$Z$6:$Z$225,'5_TFIDF'!$X$6:$X$225)/('5_TFIDF'!Z$227*'5_TFIDF'!X$227)</f>
        <v/>
      </c>
      <c r="K30" s="9">
        <f>SUMPRODUCT('5_TFIDF'!$Z$6:$Z$225,'5_TFIDF'!$Y$6:$Y$225)/('5_TFIDF'!Z$227*'5_TFIDF'!Y$227)</f>
        <v/>
      </c>
      <c r="L30" s="9">
        <f>SUMPRODUCT('5_TFIDF'!$Z$6:$Z$225,'5_TFIDF'!$Z$6:$Z$225)/('5_TFIDF'!Z$227*'5_TFIDF'!Z$227)</f>
        <v/>
      </c>
      <c r="M30" s="9">
        <f>SUMPRODUCT('5_TFIDF'!$Z$6:$Z$225,'5_TFIDF'!$AA$6:$AA$225)/('5_TFIDF'!Z$227*'5_TFIDF'!AA$227)</f>
        <v/>
      </c>
    </row>
    <row r="31">
      <c r="A31" s="4" t="inlineStr">
        <is>
          <t>pos 12</t>
        </is>
      </c>
      <c r="B31" s="9">
        <f>SUMPRODUCT('5_TFIDF'!$AA$6:$AA$225,'5_TFIDF'!$P$6:$P$225)/('5_TFIDF'!AA$227*'5_TFIDF'!P$227)</f>
        <v/>
      </c>
      <c r="C31" s="9">
        <f>SUMPRODUCT('5_TFIDF'!$AA$6:$AA$225,'5_TFIDF'!$Q$6:$Q$225)/('5_TFIDF'!AA$227*'5_TFIDF'!Q$227)</f>
        <v/>
      </c>
      <c r="D31" s="9">
        <f>SUMPRODUCT('5_TFIDF'!$AA$6:$AA$225,'5_TFIDF'!$R$6:$R$225)/('5_TFIDF'!AA$227*'5_TFIDF'!R$227)</f>
        <v/>
      </c>
      <c r="E31" s="9">
        <f>SUMPRODUCT('5_TFIDF'!$AA$6:$AA$225,'5_TFIDF'!$S$6:$S$225)/('5_TFIDF'!AA$227*'5_TFIDF'!S$227)</f>
        <v/>
      </c>
      <c r="F31" s="9">
        <f>SUMPRODUCT('5_TFIDF'!$AA$6:$AA$225,'5_TFIDF'!$T$6:$T$225)/('5_TFIDF'!AA$227*'5_TFIDF'!T$227)</f>
        <v/>
      </c>
      <c r="G31" s="9">
        <f>SUMPRODUCT('5_TFIDF'!$AA$6:$AA$225,'5_TFIDF'!$U$6:$U$225)/('5_TFIDF'!AA$227*'5_TFIDF'!U$227)</f>
        <v/>
      </c>
      <c r="H31" s="9">
        <f>SUMPRODUCT('5_TFIDF'!$AA$6:$AA$225,'5_TFIDF'!$V$6:$V$225)/('5_TFIDF'!AA$227*'5_TFIDF'!V$227)</f>
        <v/>
      </c>
      <c r="I31" s="9">
        <f>SUMPRODUCT('5_TFIDF'!$AA$6:$AA$225,'5_TFIDF'!$W$6:$W$225)/('5_TFIDF'!AA$227*'5_TFIDF'!W$227)</f>
        <v/>
      </c>
      <c r="J31" s="9">
        <f>SUMPRODUCT('5_TFIDF'!$AA$6:$AA$225,'5_TFIDF'!$X$6:$X$225)/('5_TFIDF'!AA$227*'5_TFIDF'!X$227)</f>
        <v/>
      </c>
      <c r="K31" s="9">
        <f>SUMPRODUCT('5_TFIDF'!$AA$6:$AA$225,'5_TFIDF'!$Y$6:$Y$225)/('5_TFIDF'!AA$227*'5_TFIDF'!Y$227)</f>
        <v/>
      </c>
      <c r="L31" s="9">
        <f>SUMPRODUCT('5_TFIDF'!$AA$6:$AA$225,'5_TFIDF'!$Z$6:$Z$225)/('5_TFIDF'!AA$227*'5_TFIDF'!Z$227)</f>
        <v/>
      </c>
      <c r="M31" s="9">
        <f>SUMPRODUCT('5_TFIDF'!$AA$6:$AA$225,'5_TFIDF'!$AA$6:$AA$225)/('5_TFIDF'!AA$227*'5_TFIDF'!AA$227)</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4" customWidth="1" min="2" max="2"/>
    <col width="8" customWidth="1" min="3" max="3"/>
    <col width="14" customWidth="1" min="4" max="4"/>
    <col width="10" customWidth="1" min="5" max="5"/>
    <col width="10" customWidth="1" min="6" max="6"/>
  </cols>
  <sheetData>
    <row r="1">
      <c r="A1" s="1" t="inlineStr">
        <is>
          <t>7 - Peringkat Content-Based Filtering</t>
        </is>
      </c>
    </row>
    <row r="2">
      <c r="A2" s="2" t="inlineStr">
        <is>
          <t>Skor CBF = kosinus ke profil sesi (6_Cosine). Artikel yang sudah dibaca dibuang; idx 0 = teratas, sama seperti urutan _top di serving.py.</t>
        </is>
      </c>
    </row>
    <row r="4" ht="30" customHeight="1">
      <c r="A4" s="3" t="inlineStr">
        <is>
          <t>Pos</t>
        </is>
      </c>
      <c r="B4" s="3" t="inlineStr">
        <is>
          <t>nid</t>
        </is>
      </c>
      <c r="C4" s="3" t="inlineStr">
        <is>
          <t>Sesi?</t>
        </is>
      </c>
      <c r="D4" s="3" t="inlineStr">
        <is>
          <t>Skor CBF</t>
        </is>
      </c>
      <c r="E4" s="3" t="inlineStr">
        <is>
          <t>idx CBF</t>
        </is>
      </c>
      <c r="F4" s="3" t="inlineStr">
        <is>
          <t>Peringkat</t>
        </is>
      </c>
    </row>
    <row r="5">
      <c r="A5" s="5" t="n">
        <v>1</v>
      </c>
      <c r="B5" s="6" t="inlineStr">
        <is>
          <t>I2d5df0726f</t>
        </is>
      </c>
      <c r="C5" s="5">
        <f>'6_Cosine'!C5</f>
        <v/>
      </c>
      <c r="D5" s="9">
        <f>'6_Cosine'!D5</f>
        <v/>
      </c>
      <c r="E5" s="5">
        <f>IF(C5="Ya","",COUNTIFS($D$5:$D$16,"&gt;"&amp;D5,$C$5:$C$16,"&lt;&gt;Ya")+COUNTIFS($D$5:$D$16,D5,$C$5:$C$16,"&lt;&gt;Ya",$A$5:$A$16,"&lt;"&amp;A5))</f>
        <v/>
      </c>
      <c r="F5" s="5">
        <f>IF(E5="","",E5+1)</f>
        <v/>
      </c>
    </row>
    <row r="6">
      <c r="A6" s="5" t="n">
        <v>2</v>
      </c>
      <c r="B6" s="6" t="inlineStr">
        <is>
          <t>I0f3340d602</t>
        </is>
      </c>
      <c r="C6" s="5">
        <f>'6_Cosine'!C6</f>
        <v/>
      </c>
      <c r="D6" s="9">
        <f>'6_Cosine'!D6</f>
        <v/>
      </c>
      <c r="E6" s="5">
        <f>IF(C6="Ya","",COUNTIFS($D$5:$D$16,"&gt;"&amp;D6,$C$5:$C$16,"&lt;&gt;Ya")+COUNTIFS($D$5:$D$16,D6,$C$5:$C$16,"&lt;&gt;Ya",$A$5:$A$16,"&lt;"&amp;A6))</f>
        <v/>
      </c>
      <c r="F6" s="5">
        <f>IF(E6="","",E6+1)</f>
        <v/>
      </c>
    </row>
    <row r="7">
      <c r="A7" s="5" t="n">
        <v>3</v>
      </c>
      <c r="B7" s="6" t="inlineStr">
        <is>
          <t>Ic3f4f2512e</t>
        </is>
      </c>
      <c r="C7" s="5">
        <f>'6_Cosine'!C7</f>
        <v/>
      </c>
      <c r="D7" s="9">
        <f>'6_Cosine'!D7</f>
        <v/>
      </c>
      <c r="E7" s="5">
        <f>IF(C7="Ya","",COUNTIFS($D$5:$D$16,"&gt;"&amp;D7,$C$5:$C$16,"&lt;&gt;Ya")+COUNTIFS($D$5:$D$16,D7,$C$5:$C$16,"&lt;&gt;Ya",$A$5:$A$16,"&lt;"&amp;A7))</f>
        <v/>
      </c>
      <c r="F7" s="5">
        <f>IF(E7="","",E7+1)</f>
        <v/>
      </c>
    </row>
    <row r="8">
      <c r="A8" s="5" t="n">
        <v>4</v>
      </c>
      <c r="B8" s="6" t="inlineStr">
        <is>
          <t>Ifa9f81c923</t>
        </is>
      </c>
      <c r="C8" s="5">
        <f>'6_Cosine'!C8</f>
        <v/>
      </c>
      <c r="D8" s="9">
        <f>'6_Cosine'!D8</f>
        <v/>
      </c>
      <c r="E8" s="5">
        <f>IF(C8="Ya","",COUNTIFS($D$5:$D$16,"&gt;"&amp;D8,$C$5:$C$16,"&lt;&gt;Ya")+COUNTIFS($D$5:$D$16,D8,$C$5:$C$16,"&lt;&gt;Ya",$A$5:$A$16,"&lt;"&amp;A8))</f>
        <v/>
      </c>
      <c r="F8" s="5">
        <f>IF(E8="","",E8+1)</f>
        <v/>
      </c>
    </row>
    <row r="9">
      <c r="A9" s="5" t="n">
        <v>5</v>
      </c>
      <c r="B9" s="6" t="inlineStr">
        <is>
          <t>I1d82a5e6ee</t>
        </is>
      </c>
      <c r="C9" s="5">
        <f>'6_Cosine'!C9</f>
        <v/>
      </c>
      <c r="D9" s="9">
        <f>'6_Cosine'!D9</f>
        <v/>
      </c>
      <c r="E9" s="5">
        <f>IF(C9="Ya","",COUNTIFS($D$5:$D$16,"&gt;"&amp;D9,$C$5:$C$16,"&lt;&gt;Ya")+COUNTIFS($D$5:$D$16,D9,$C$5:$C$16,"&lt;&gt;Ya",$A$5:$A$16,"&lt;"&amp;A9))</f>
        <v/>
      </c>
      <c r="F9" s="5">
        <f>IF(E9="","",E9+1)</f>
        <v/>
      </c>
    </row>
    <row r="10">
      <c r="A10" s="5" t="n">
        <v>6</v>
      </c>
      <c r="B10" s="6" t="inlineStr">
        <is>
          <t>Ib13654bb81</t>
        </is>
      </c>
      <c r="C10" s="5">
        <f>'6_Cosine'!C10</f>
        <v/>
      </c>
      <c r="D10" s="9">
        <f>'6_Cosine'!D10</f>
        <v/>
      </c>
      <c r="E10" s="5">
        <f>IF(C10="Ya","",COUNTIFS($D$5:$D$16,"&gt;"&amp;D10,$C$5:$C$16,"&lt;&gt;Ya")+COUNTIFS($D$5:$D$16,D10,$C$5:$C$16,"&lt;&gt;Ya",$A$5:$A$16,"&lt;"&amp;A10))</f>
        <v/>
      </c>
      <c r="F10" s="5">
        <f>IF(E10="","",E10+1)</f>
        <v/>
      </c>
    </row>
    <row r="11">
      <c r="A11" s="5" t="n">
        <v>7</v>
      </c>
      <c r="B11" s="6" t="inlineStr">
        <is>
          <t>I5259c70cfc</t>
        </is>
      </c>
      <c r="C11" s="5">
        <f>'6_Cosine'!C11</f>
        <v/>
      </c>
      <c r="D11" s="9">
        <f>'6_Cosine'!D11</f>
        <v/>
      </c>
      <c r="E11" s="5">
        <f>IF(C11="Ya","",COUNTIFS($D$5:$D$16,"&gt;"&amp;D11,$C$5:$C$16,"&lt;&gt;Ya")+COUNTIFS($D$5:$D$16,D11,$C$5:$C$16,"&lt;&gt;Ya",$A$5:$A$16,"&lt;"&amp;A11))</f>
        <v/>
      </c>
      <c r="F11" s="5">
        <f>IF(E11="","",E11+1)</f>
        <v/>
      </c>
    </row>
    <row r="12">
      <c r="A12" s="5" t="n">
        <v>8</v>
      </c>
      <c r="B12" s="6" t="inlineStr">
        <is>
          <t>I67dbbb2a6e</t>
        </is>
      </c>
      <c r="C12" s="5">
        <f>'6_Cosine'!C12</f>
        <v/>
      </c>
      <c r="D12" s="9">
        <f>'6_Cosine'!D12</f>
        <v/>
      </c>
      <c r="E12" s="5">
        <f>IF(C12="Ya","",COUNTIFS($D$5:$D$16,"&gt;"&amp;D12,$C$5:$C$16,"&lt;&gt;Ya")+COUNTIFS($D$5:$D$16,D12,$C$5:$C$16,"&lt;&gt;Ya",$A$5:$A$16,"&lt;"&amp;A12))</f>
        <v/>
      </c>
      <c r="F12" s="5">
        <f>IF(E12="","",E12+1)</f>
        <v/>
      </c>
    </row>
    <row r="13">
      <c r="A13" s="5" t="n">
        <v>9</v>
      </c>
      <c r="B13" s="6" t="inlineStr">
        <is>
          <t>I307e7d7249</t>
        </is>
      </c>
      <c r="C13" s="5">
        <f>'6_Cosine'!C13</f>
        <v/>
      </c>
      <c r="D13" s="9">
        <f>'6_Cosine'!D13</f>
        <v/>
      </c>
      <c r="E13" s="5">
        <f>IF(C13="Ya","",COUNTIFS($D$5:$D$16,"&gt;"&amp;D13,$C$5:$C$16,"&lt;&gt;Ya")+COUNTIFS($D$5:$D$16,D13,$C$5:$C$16,"&lt;&gt;Ya",$A$5:$A$16,"&lt;"&amp;A13))</f>
        <v/>
      </c>
      <c r="F13" s="5">
        <f>IF(E13="","",E13+1)</f>
        <v/>
      </c>
    </row>
    <row r="14">
      <c r="A14" s="5" t="n">
        <v>10</v>
      </c>
      <c r="B14" s="6" t="inlineStr">
        <is>
          <t>I99144f9b4e</t>
        </is>
      </c>
      <c r="C14" s="5">
        <f>'6_Cosine'!C14</f>
        <v/>
      </c>
      <c r="D14" s="9">
        <f>'6_Cosine'!D14</f>
        <v/>
      </c>
      <c r="E14" s="5">
        <f>IF(C14="Ya","",COUNTIFS($D$5:$D$16,"&gt;"&amp;D14,$C$5:$C$16,"&lt;&gt;Ya")+COUNTIFS($D$5:$D$16,D14,$C$5:$C$16,"&lt;&gt;Ya",$A$5:$A$16,"&lt;"&amp;A14))</f>
        <v/>
      </c>
      <c r="F14" s="5">
        <f>IF(E14="","",E14+1)</f>
        <v/>
      </c>
    </row>
    <row r="15">
      <c r="A15" s="5" t="n">
        <v>11</v>
      </c>
      <c r="B15" s="6" t="inlineStr">
        <is>
          <t>I01684f5bad</t>
        </is>
      </c>
      <c r="C15" s="5">
        <f>'6_Cosine'!C15</f>
        <v/>
      </c>
      <c r="D15" s="9">
        <f>'6_Cosine'!D15</f>
        <v/>
      </c>
      <c r="E15" s="5">
        <f>IF(C15="Ya","",COUNTIFS($D$5:$D$16,"&gt;"&amp;D15,$C$5:$C$16,"&lt;&gt;Ya")+COUNTIFS($D$5:$D$16,D15,$C$5:$C$16,"&lt;&gt;Ya",$A$5:$A$16,"&lt;"&amp;A15))</f>
        <v/>
      </c>
      <c r="F15" s="5">
        <f>IF(E15="","",E15+1)</f>
        <v/>
      </c>
    </row>
    <row r="16">
      <c r="A16" s="5" t="n">
        <v>12</v>
      </c>
      <c r="B16" s="6" t="inlineStr">
        <is>
          <t>I18ca3d0ae0</t>
        </is>
      </c>
      <c r="C16" s="5">
        <f>'6_Cosine'!C16</f>
        <v/>
      </c>
      <c r="D16" s="9">
        <f>'6_Cosine'!D16</f>
        <v/>
      </c>
      <c r="E16" s="5">
        <f>IF(C16="Ya","",COUNTIFS($D$5:$D$16,"&gt;"&amp;D16,$C$5:$C$16,"&lt;&gt;Ya")+COUNTIFS($D$5:$D$16,D16,$C$5:$C$16,"&lt;&gt;Ya",$A$5:$A$16,"&lt;"&amp;A16))</f>
        <v/>
      </c>
      <c r="F16" s="5">
        <f>IF(E16="","",E16+1)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34"/>
  <sheetViews>
    <sheetView workbookViewId="0">
      <selection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8 - Skor Collaborative Filtering (implicit ALS)</t>
        </is>
      </c>
    </row>
    <row r="2">
      <c r="A2" s="2" t="inlineStr">
        <is>
          <t>128 faktor laten per artikel adalah baris nyata dari indo_als_item_factors.npy (dibulatkan 6 desimal). Kolom profil = AVERAGE faktor 3 artikel sesi, jalur cold session pada _als_scores. Skor = SUMPRODUCT(faktor artikel, profil).</t>
        </is>
      </c>
    </row>
    <row r="4" ht="18" customHeight="1">
      <c r="A4" s="3" t="inlineStr">
        <is>
          <t>Dim</t>
        </is>
      </c>
      <c r="B4" s="3" t="inlineStr">
        <is>
          <t>f pos 1</t>
        </is>
      </c>
      <c r="C4" s="3" t="inlineStr">
        <is>
          <t>f pos 2</t>
        </is>
      </c>
      <c r="D4" s="3" t="inlineStr">
        <is>
          <t>f pos 3</t>
        </is>
      </c>
      <c r="E4" s="3" t="inlineStr">
        <is>
          <t>f pos 4</t>
        </is>
      </c>
      <c r="F4" s="3" t="inlineStr">
        <is>
          <t>f pos 5</t>
        </is>
      </c>
      <c r="G4" s="3" t="inlineStr">
        <is>
          <t>f pos 6</t>
        </is>
      </c>
      <c r="H4" s="3" t="inlineStr">
        <is>
          <t>f pos 7</t>
        </is>
      </c>
      <c r="I4" s="3" t="inlineStr">
        <is>
          <t>f pos 8</t>
        </is>
      </c>
      <c r="J4" s="3" t="inlineStr">
        <is>
          <t>f pos 9</t>
        </is>
      </c>
      <c r="K4" s="3" t="inlineStr">
        <is>
          <t>f pos 10</t>
        </is>
      </c>
      <c r="L4" s="3" t="inlineStr">
        <is>
          <t>f pos 11</t>
        </is>
      </c>
      <c r="M4" s="3" t="inlineStr">
        <is>
          <t>f pos 12</t>
        </is>
      </c>
      <c r="N4" s="3" t="inlineStr">
        <is>
          <t>profil</t>
        </is>
      </c>
    </row>
    <row r="5">
      <c r="A5" s="5" t="n">
        <v>1</v>
      </c>
      <c r="B5" s="11" t="n">
        <v>-0.00125800003297627</v>
      </c>
      <c r="C5" s="11" t="n">
        <v>0.0040799998678267</v>
      </c>
      <c r="D5" s="11" t="n">
        <v>0.002264000009745359</v>
      </c>
      <c r="E5" s="11" t="n">
        <v>0.0004640000115614384</v>
      </c>
      <c r="F5" s="11" t="n">
        <v>0.005801999941468239</v>
      </c>
      <c r="G5" s="11" t="n">
        <v>0.01126900035887957</v>
      </c>
      <c r="H5" s="11" t="n">
        <v>0.002495999913662672</v>
      </c>
      <c r="I5" s="11" t="n">
        <v>0.003243000013753772</v>
      </c>
      <c r="J5" s="11" t="n">
        <v>0.01028299983590841</v>
      </c>
      <c r="K5" s="11" t="n">
        <v>0.00202700006775558</v>
      </c>
      <c r="L5" s="11" t="n">
        <v>0.01031200028955936</v>
      </c>
      <c r="M5" s="11" t="n">
        <v>0.001763000036589801</v>
      </c>
      <c r="N5" s="9">
        <f>AVERAGE(B5,C5,E5)</f>
        <v/>
      </c>
    </row>
    <row r="6">
      <c r="A6" s="5" t="n">
        <v>2</v>
      </c>
      <c r="B6" s="11" t="n">
        <v>0.001530000008642673</v>
      </c>
      <c r="C6" s="11" t="n">
        <v>0.00125800003297627</v>
      </c>
      <c r="D6" s="11" t="n">
        <v>0.001970000099390745</v>
      </c>
      <c r="E6" s="11" t="n">
        <v>0.003738000057637691</v>
      </c>
      <c r="F6" s="11" t="n">
        <v>0.0002619999868329614</v>
      </c>
      <c r="G6" s="11" t="n">
        <v>0.0123870000243187</v>
      </c>
      <c r="H6" s="11" t="n">
        <v>0.003334000008180737</v>
      </c>
      <c r="I6" s="11" t="n">
        <v>-0.001907999976538122</v>
      </c>
      <c r="J6" s="11" t="n">
        <v>0.005737000145018101</v>
      </c>
      <c r="K6" s="11" t="n">
        <v>0.0002889999886974692</v>
      </c>
      <c r="L6" s="11" t="n">
        <v>0.01369899976998568</v>
      </c>
      <c r="M6" s="11" t="n">
        <v>0.001126999966800213</v>
      </c>
      <c r="N6" s="9">
        <f>AVERAGE(B6,C6,E6)</f>
        <v/>
      </c>
    </row>
    <row r="7">
      <c r="A7" s="5" t="n">
        <v>3</v>
      </c>
      <c r="B7" s="11" t="n">
        <v>0.0008960000122897327</v>
      </c>
      <c r="C7" s="11" t="n">
        <v>0.007408000063151121</v>
      </c>
      <c r="D7" s="11" t="n">
        <v>0.002846000017598271</v>
      </c>
      <c r="E7" s="11" t="n">
        <v>0.0004149999876972288</v>
      </c>
      <c r="F7" s="11" t="n">
        <v>0.009225999936461449</v>
      </c>
      <c r="G7" s="11" t="n">
        <v>0.006802000105381012</v>
      </c>
      <c r="H7" s="11" t="n">
        <v>0.004798999987542629</v>
      </c>
      <c r="I7" s="11" t="n">
        <v>-0.0007510000141337514</v>
      </c>
      <c r="J7" s="11" t="n">
        <v>-0.001886000041849911</v>
      </c>
      <c r="K7" s="11" t="n">
        <v>0.0008019999950192869</v>
      </c>
      <c r="L7" s="11" t="n">
        <v>0.008124000392854214</v>
      </c>
      <c r="M7" s="11" t="n">
        <v>0.003231999929994345</v>
      </c>
      <c r="N7" s="9">
        <f>AVERAGE(B7,C7,E7)</f>
        <v/>
      </c>
    </row>
    <row r="8">
      <c r="A8" s="5" t="n">
        <v>4</v>
      </c>
      <c r="B8" s="11" t="n">
        <v>0.002569000003859401</v>
      </c>
      <c r="C8" s="11" t="n">
        <v>0.001746000023558736</v>
      </c>
      <c r="D8" s="11" t="n">
        <v>-0.002637000055983663</v>
      </c>
      <c r="E8" s="11" t="n">
        <v>-0.001269000000320375</v>
      </c>
      <c r="F8" s="11" t="n">
        <v>0.002136999974027276</v>
      </c>
      <c r="G8" s="11" t="n">
        <v>-0.00305800000205636</v>
      </c>
      <c r="H8" s="11" t="n">
        <v>-0.003786999965086579</v>
      </c>
      <c r="I8" s="11" t="n">
        <v>-0.002451000036671758</v>
      </c>
      <c r="J8" s="11" t="n">
        <v>-0.00543500017374754</v>
      </c>
      <c r="K8" s="11" t="n">
        <v>0.002335000084713101</v>
      </c>
      <c r="L8" s="11" t="n">
        <v>0.0006569999968633056</v>
      </c>
      <c r="M8" s="11" t="n">
        <v>0.0009940000018104911</v>
      </c>
      <c r="N8" s="9">
        <f>AVERAGE(B8,C8,E8)</f>
        <v/>
      </c>
    </row>
    <row r="9">
      <c r="A9" s="5" t="n">
        <v>5</v>
      </c>
      <c r="B9" s="11" t="n">
        <v>0.005144999828189611</v>
      </c>
      <c r="C9" s="11" t="n">
        <v>0.001950999954715371</v>
      </c>
      <c r="D9" s="11" t="n">
        <v>-0.003324999939650297</v>
      </c>
      <c r="E9" s="11" t="n">
        <v>-0.003342000069096684</v>
      </c>
      <c r="F9" s="11" t="n">
        <v>0.0006259999936446548</v>
      </c>
      <c r="G9" s="11" t="n">
        <v>0.0002189999941037968</v>
      </c>
      <c r="H9" s="11" t="n">
        <v>0.001164000015705824</v>
      </c>
      <c r="I9" s="11" t="n">
        <v>0.0005089999758638442</v>
      </c>
      <c r="J9" s="11" t="n">
        <v>0.003627999918535352</v>
      </c>
      <c r="K9" s="11" t="n">
        <v>0.001568999956361949</v>
      </c>
      <c r="L9" s="11" t="n">
        <v>0.006703000050038099</v>
      </c>
      <c r="M9" s="11" t="n">
        <v>0.003591000102460384</v>
      </c>
      <c r="N9" s="9">
        <f>AVERAGE(B9,C9,E9)</f>
        <v/>
      </c>
    </row>
    <row r="10">
      <c r="A10" s="5" t="n">
        <v>6</v>
      </c>
      <c r="B10" s="11" t="n">
        <v>0.005880999844521284</v>
      </c>
      <c r="C10" s="11" t="n">
        <v>0.002866999944671988</v>
      </c>
      <c r="D10" s="11" t="n">
        <v>0.006568000186234713</v>
      </c>
      <c r="E10" s="11" t="n">
        <v>0.002051000017672777</v>
      </c>
      <c r="F10" s="11" t="n">
        <v>0.002108999993652105</v>
      </c>
      <c r="G10" s="11" t="n">
        <v>0.003936999943107367</v>
      </c>
      <c r="H10" s="11" t="n">
        <v>0.002611000090837479</v>
      </c>
      <c r="I10" s="11" t="n">
        <v>-0.001454000012017787</v>
      </c>
      <c r="J10" s="11" t="n">
        <v>0.003677000058814883</v>
      </c>
      <c r="K10" s="11" t="n">
        <v>-0.001174999983049929</v>
      </c>
      <c r="L10" s="11" t="n">
        <v>0.003564999904483557</v>
      </c>
      <c r="M10" s="11" t="n">
        <v>-0.0004239999980200082</v>
      </c>
      <c r="N10" s="9">
        <f>AVERAGE(B10,C10,E10)</f>
        <v/>
      </c>
    </row>
    <row r="11">
      <c r="A11" s="5" t="n">
        <v>7</v>
      </c>
      <c r="B11" s="11" t="n">
        <v>-0.003342000069096684</v>
      </c>
      <c r="C11" s="11" t="n">
        <v>0.004139999859035015</v>
      </c>
      <c r="D11" s="11" t="n">
        <v>-0.0007350000087171793</v>
      </c>
      <c r="E11" s="11" t="n">
        <v>0.002812999999150634</v>
      </c>
      <c r="F11" s="11" t="n">
        <v>0.002532999962568283</v>
      </c>
      <c r="G11" s="11" t="n">
        <v>0.002189999911934137</v>
      </c>
      <c r="H11" s="11" t="n">
        <v>0.003142999950796366</v>
      </c>
      <c r="I11" s="11" t="n">
        <v>0.001649999991059303</v>
      </c>
      <c r="J11" s="11" t="n">
        <v>0.006668000016361475</v>
      </c>
      <c r="K11" s="11" t="n">
        <v>0.00113500002771616</v>
      </c>
      <c r="L11" s="11" t="n">
        <v>0.007242000196129084</v>
      </c>
      <c r="M11" s="11" t="n">
        <v>-0.00140599999576807</v>
      </c>
      <c r="N11" s="9">
        <f>AVERAGE(B11,C11,E11)</f>
        <v/>
      </c>
    </row>
    <row r="12">
      <c r="A12" s="5" t="n">
        <v>8</v>
      </c>
      <c r="B12" s="11" t="n">
        <v>-0.002454000059515238</v>
      </c>
      <c r="C12" s="11" t="n">
        <v>0.003383999923244119</v>
      </c>
      <c r="D12" s="11" t="n">
        <v>0.003668999997898936</v>
      </c>
      <c r="E12" s="11" t="n">
        <v>-0.000775999971665442</v>
      </c>
      <c r="F12" s="11" t="n">
        <v>-0.0008500000112690032</v>
      </c>
      <c r="G12" s="11" t="n">
        <v>0.004124000202864408</v>
      </c>
      <c r="H12" s="11" t="n">
        <v>0.003350999904796481</v>
      </c>
      <c r="I12" s="11" t="n">
        <v>-0.0009340000106021762</v>
      </c>
      <c r="J12" s="11" t="n">
        <v>0.005884999874979258</v>
      </c>
      <c r="K12" s="11" t="n">
        <v>0.004397000186145306</v>
      </c>
      <c r="L12" s="11" t="n">
        <v>0.00711299991235137</v>
      </c>
      <c r="M12" s="11" t="n">
        <v>-0.0001570000022184104</v>
      </c>
      <c r="N12" s="9">
        <f>AVERAGE(B12,C12,E12)</f>
        <v/>
      </c>
    </row>
    <row r="13">
      <c r="A13" s="5" t="n">
        <v>9</v>
      </c>
      <c r="B13" s="11" t="n">
        <v>0.002104999963194132</v>
      </c>
      <c r="C13" s="11" t="n">
        <v>0.0005310000269673765</v>
      </c>
      <c r="D13" s="11" t="n">
        <v>0.001534000039100647</v>
      </c>
      <c r="E13" s="11" t="n">
        <v>0.001348000019788742</v>
      </c>
      <c r="F13" s="11" t="n">
        <v>0.002581000095233321</v>
      </c>
      <c r="G13" s="11" t="n">
        <v>0.00647500017657876</v>
      </c>
      <c r="H13" s="11" t="n">
        <v>0.00318400003015995</v>
      </c>
      <c r="I13" s="11" t="n">
        <v>-0.0003450000076554716</v>
      </c>
      <c r="J13" s="11" t="n">
        <v>0.002069999929517508</v>
      </c>
      <c r="K13" s="11" t="n">
        <v>0.002462999895215034</v>
      </c>
      <c r="L13" s="11" t="n">
        <v>0.00737799983471632</v>
      </c>
      <c r="M13" s="11" t="n">
        <v>0.003520000027492642</v>
      </c>
      <c r="N13" s="9">
        <f>AVERAGE(B13,C13,E13)</f>
        <v/>
      </c>
    </row>
    <row r="14">
      <c r="A14" s="5" t="n">
        <v>10</v>
      </c>
      <c r="B14" s="11" t="n">
        <v>-0.0005259999888949096</v>
      </c>
      <c r="C14" s="11" t="n">
        <v>0.005665000062435865</v>
      </c>
      <c r="D14" s="11" t="n">
        <v>0.002468999940901995</v>
      </c>
      <c r="E14" s="11" t="n">
        <v>0.001746000023558736</v>
      </c>
      <c r="F14" s="11" t="n">
        <v>0.00547999981790781</v>
      </c>
      <c r="G14" s="11" t="n">
        <v>-0.007575999945402145</v>
      </c>
      <c r="H14" s="11" t="n">
        <v>0.002363000065088272</v>
      </c>
      <c r="I14" s="11" t="n">
        <v>-0.003353999927639961</v>
      </c>
      <c r="J14" s="11" t="n">
        <v>0.004147000145167112</v>
      </c>
      <c r="K14" s="11" t="n">
        <v>0.004083999898284674</v>
      </c>
      <c r="L14" s="11" t="n">
        <v>0.002942000050097704</v>
      </c>
      <c r="M14" s="11" t="n">
        <v>0.003723999951034784</v>
      </c>
      <c r="N14" s="9">
        <f>AVERAGE(B14,C14,E14)</f>
        <v/>
      </c>
    </row>
    <row r="15">
      <c r="A15" s="5" t="n">
        <v>11</v>
      </c>
      <c r="B15" s="11" t="n">
        <v>-0.001407000003382564</v>
      </c>
      <c r="C15" s="11" t="n">
        <v>0.004395999945700169</v>
      </c>
      <c r="D15" s="11" t="n">
        <v>0.002189999911934137</v>
      </c>
      <c r="E15" s="11" t="n">
        <v>0.002038999926298857</v>
      </c>
      <c r="F15" s="11" t="n">
        <v>0.003373000072315335</v>
      </c>
      <c r="G15" s="11" t="n">
        <v>-0.002249999903142452</v>
      </c>
      <c r="H15" s="11" t="n">
        <v>0.001414000056684017</v>
      </c>
      <c r="I15" s="11" t="n">
        <v>-0.0008529999759048223</v>
      </c>
      <c r="J15" s="11" t="n">
        <v>-0.002012999961152673</v>
      </c>
      <c r="K15" s="11" t="n">
        <v>0.001379000023007393</v>
      </c>
      <c r="L15" s="11" t="n">
        <v>0.0009169999975711107</v>
      </c>
      <c r="M15" s="11" t="n">
        <v>0.003221000079065561</v>
      </c>
      <c r="N15" s="9">
        <f>AVERAGE(B15,C15,E15)</f>
        <v/>
      </c>
    </row>
    <row r="16">
      <c r="A16" s="5" t="n">
        <v>12</v>
      </c>
      <c r="B16" s="11" t="n">
        <v>0.003894000081345439</v>
      </c>
      <c r="C16" s="11" t="n">
        <v>0.004077000077813864</v>
      </c>
      <c r="D16" s="11" t="n">
        <v>0.00519599998369813</v>
      </c>
      <c r="E16" s="11" t="n">
        <v>0.004972999915480614</v>
      </c>
      <c r="F16" s="11" t="n">
        <v>0.0001230000052601099</v>
      </c>
      <c r="G16" s="11" t="n">
        <v>-0.0003999999898951501</v>
      </c>
      <c r="H16" s="11" t="n">
        <v>-0.0007580000092275441</v>
      </c>
      <c r="I16" s="11" t="n">
        <v>0.0008580000139772892</v>
      </c>
      <c r="J16" s="11" t="n">
        <v>0.009522999636828899</v>
      </c>
      <c r="K16" s="11" t="n">
        <v>-0.0007970000151544809</v>
      </c>
      <c r="L16" s="11" t="n">
        <v>0.0014519999967888</v>
      </c>
      <c r="M16" s="11" t="n">
        <v>-0.0007190000033006072</v>
      </c>
      <c r="N16" s="9">
        <f>AVERAGE(B16,C16,E16)</f>
        <v/>
      </c>
    </row>
    <row r="17">
      <c r="A17" s="5" t="n">
        <v>13</v>
      </c>
      <c r="B17" s="11" t="n">
        <v>-0.0006060000159777701</v>
      </c>
      <c r="C17" s="11" t="n">
        <v>0.007501000072807074</v>
      </c>
      <c r="D17" s="11" t="n">
        <v>0.003204999957233667</v>
      </c>
      <c r="E17" s="11" t="n">
        <v>0.00357199995778501</v>
      </c>
      <c r="F17" s="11" t="n">
        <v>0.008760999888181686</v>
      </c>
      <c r="G17" s="11" t="n">
        <v>0.004583000205457211</v>
      </c>
      <c r="H17" s="11" t="n">
        <v>-0.0004870000120718032</v>
      </c>
      <c r="I17" s="11" t="n">
        <v>0.003896000096574426</v>
      </c>
      <c r="J17" s="11" t="n">
        <v>0.006907000206410885</v>
      </c>
      <c r="K17" s="11" t="n">
        <v>0.002575000049546361</v>
      </c>
      <c r="L17" s="11" t="n">
        <v>0.008766000159084797</v>
      </c>
      <c r="M17" s="11" t="n">
        <v>0.002509000012651086</v>
      </c>
      <c r="N17" s="9">
        <f>AVERAGE(B17,C17,E17)</f>
        <v/>
      </c>
    </row>
    <row r="18">
      <c r="A18" s="5" t="n">
        <v>14</v>
      </c>
      <c r="B18" s="11" t="n">
        <v>0.001823000027798116</v>
      </c>
      <c r="C18" s="11" t="n">
        <v>0.003976000007241964</v>
      </c>
      <c r="D18" s="11" t="n">
        <v>0.0001749999937601388</v>
      </c>
      <c r="E18" s="11" t="n">
        <v>0.0006469999789260328</v>
      </c>
      <c r="F18" s="11" t="n">
        <v>0.003573999973013997</v>
      </c>
      <c r="G18" s="11" t="n">
        <v>0.006178999785333872</v>
      </c>
      <c r="H18" s="11" t="n">
        <v>-0.001721999957226217</v>
      </c>
      <c r="I18" s="11" t="n">
        <v>-2.400000084890053e-05</v>
      </c>
      <c r="J18" s="11" t="n">
        <v>0.004960999824106693</v>
      </c>
      <c r="K18" s="11" t="n">
        <v>-0.0002200000017182902</v>
      </c>
      <c r="L18" s="11" t="n">
        <v>0.009305000305175781</v>
      </c>
      <c r="M18" s="11" t="n">
        <v>0.0004949999856762588</v>
      </c>
      <c r="N18" s="9">
        <f>AVERAGE(B18,C18,E18)</f>
        <v/>
      </c>
    </row>
    <row r="19">
      <c r="A19" s="5" t="n">
        <v>15</v>
      </c>
      <c r="B19" s="11" t="n">
        <v>0.002250999910756946</v>
      </c>
      <c r="C19" s="11" t="n">
        <v>0.002828999888151884</v>
      </c>
      <c r="D19" s="11" t="n">
        <v>0.003426000010222197</v>
      </c>
      <c r="E19" s="11" t="n">
        <v>0.001066999975591898</v>
      </c>
      <c r="F19" s="11" t="n">
        <v>0.003631999948993325</v>
      </c>
      <c r="G19" s="11" t="n">
        <v>-0.002719999989494681</v>
      </c>
      <c r="H19" s="11" t="n">
        <v>-0.001259000040590763</v>
      </c>
      <c r="I19" s="11" t="n">
        <v>-0.0017010000301525</v>
      </c>
      <c r="J19" s="11" t="n">
        <v>0.007650999817997217</v>
      </c>
      <c r="K19" s="11" t="n">
        <v>-0.002489000093191862</v>
      </c>
      <c r="L19" s="11" t="n">
        <v>-0.003926000092178583</v>
      </c>
      <c r="M19" s="11" t="n">
        <v>-0.001512999995611608</v>
      </c>
      <c r="N19" s="9">
        <f>AVERAGE(B19,C19,E19)</f>
        <v/>
      </c>
    </row>
    <row r="20">
      <c r="A20" s="5" t="n">
        <v>16</v>
      </c>
      <c r="B20" s="11" t="n">
        <v>-6.70000008540228e-05</v>
      </c>
      <c r="C20" s="11" t="n">
        <v>0.002588999923318624</v>
      </c>
      <c r="D20" s="11" t="n">
        <v>0.00106100004632026</v>
      </c>
      <c r="E20" s="11" t="n">
        <v>0.003740000072866678</v>
      </c>
      <c r="F20" s="11" t="n">
        <v>0.002732000080868602</v>
      </c>
      <c r="G20" s="11" t="n">
        <v>0.005898999981582165</v>
      </c>
      <c r="H20" s="11" t="n">
        <v>0.00341499992646277</v>
      </c>
      <c r="I20" s="11" t="n">
        <v>-0.002087000058963895</v>
      </c>
      <c r="J20" s="11" t="n">
        <v>0.006978999823331833</v>
      </c>
      <c r="K20" s="11" t="n">
        <v>-0.0003260000084992498</v>
      </c>
      <c r="L20" s="11" t="n">
        <v>0.004668000154197216</v>
      </c>
      <c r="M20" s="11" t="n">
        <v>0.001203999971039593</v>
      </c>
      <c r="N20" s="9">
        <f>AVERAGE(B20,C20,E20)</f>
        <v/>
      </c>
    </row>
    <row r="21">
      <c r="A21" s="5" t="n">
        <v>17</v>
      </c>
      <c r="B21" s="11" t="n">
        <v>0.003370000049471855</v>
      </c>
      <c r="C21" s="11" t="n">
        <v>-0.001305000041611493</v>
      </c>
      <c r="D21" s="11" t="n">
        <v>0.001762000028975308</v>
      </c>
      <c r="E21" s="11" t="n">
        <v>0.003842999925836921</v>
      </c>
      <c r="F21" s="11" t="n">
        <v>0.0001130000018747523</v>
      </c>
      <c r="G21" s="11" t="n">
        <v>0.0005849999724887311</v>
      </c>
      <c r="H21" s="11" t="n">
        <v>0.001383999944664538</v>
      </c>
      <c r="I21" s="11" t="n">
        <v>0.002532999962568283</v>
      </c>
      <c r="J21" s="11" t="n">
        <v>0.003667999990284443</v>
      </c>
      <c r="K21" s="11" t="n">
        <v>0.001108999946154654</v>
      </c>
      <c r="L21" s="11" t="n">
        <v>0.002213000087067485</v>
      </c>
      <c r="M21" s="11" t="n">
        <v>0.002977000083774328</v>
      </c>
      <c r="N21" s="9">
        <f>AVERAGE(B21,C21,E21)</f>
        <v/>
      </c>
    </row>
    <row r="22">
      <c r="A22" s="5" t="n">
        <v>18</v>
      </c>
      <c r="B22" s="11" t="n">
        <v>0.002587999915704131</v>
      </c>
      <c r="C22" s="11" t="n">
        <v>0.004877000115811825</v>
      </c>
      <c r="D22" s="11" t="n">
        <v>0.002093000104650855</v>
      </c>
      <c r="E22" s="11" t="n">
        <v>0.001918000052683055</v>
      </c>
      <c r="F22" s="11" t="n">
        <v>0.006457999814301729</v>
      </c>
      <c r="G22" s="11" t="n">
        <v>-0.00747200008481741</v>
      </c>
      <c r="H22" s="11" t="n">
        <v>-0.001088000019080937</v>
      </c>
      <c r="I22" s="11" t="n">
        <v>0.00518900016322732</v>
      </c>
      <c r="J22" s="11" t="n">
        <v>0.002770999912172556</v>
      </c>
      <c r="K22" s="11" t="n">
        <v>0.001691999961622059</v>
      </c>
      <c r="L22" s="11" t="n">
        <v>-0.00888300035148859</v>
      </c>
      <c r="M22" s="11" t="n">
        <v>0.002320999978110194</v>
      </c>
      <c r="N22" s="9">
        <f>AVERAGE(B22,C22,E22)</f>
        <v/>
      </c>
    </row>
    <row r="23">
      <c r="A23" s="5" t="n">
        <v>19</v>
      </c>
      <c r="B23" s="11" t="n">
        <v>0.004280999768525362</v>
      </c>
      <c r="C23" s="11" t="n">
        <v>0.008684000000357628</v>
      </c>
      <c r="D23" s="11" t="n">
        <v>0.004095999989658594</v>
      </c>
      <c r="E23" s="11" t="n">
        <v>0.002091000089421868</v>
      </c>
      <c r="F23" s="11" t="n">
        <v>0.004610999953001738</v>
      </c>
      <c r="G23" s="11" t="n">
        <v>0.001787999994121492</v>
      </c>
      <c r="H23" s="11" t="n">
        <v>0.006978999823331833</v>
      </c>
      <c r="I23" s="11" t="n">
        <v>0.001659999950788915</v>
      </c>
      <c r="J23" s="11" t="n">
        <v>-0.003751999931409955</v>
      </c>
      <c r="K23" s="11" t="n">
        <v>0.0003309999883640558</v>
      </c>
      <c r="L23" s="11" t="n">
        <v>0.009039999917149544</v>
      </c>
      <c r="M23" s="11" t="n">
        <v>-0.0003169999981764704</v>
      </c>
      <c r="N23" s="9">
        <f>AVERAGE(B23,C23,E23)</f>
        <v/>
      </c>
    </row>
    <row r="24">
      <c r="A24" s="5" t="n">
        <v>20</v>
      </c>
      <c r="B24" s="11" t="n">
        <v>0.001291999942623079</v>
      </c>
      <c r="C24" s="11" t="n">
        <v>-0.002012999961152673</v>
      </c>
      <c r="D24" s="11" t="n">
        <v>0.005530000198632479</v>
      </c>
      <c r="E24" s="11" t="n">
        <v>0.007474999874830246</v>
      </c>
      <c r="F24" s="11" t="n">
        <v>0.003911000210791826</v>
      </c>
      <c r="G24" s="11" t="n">
        <v>0.00725100003182888</v>
      </c>
      <c r="H24" s="11" t="n">
        <v>-0.0009500000160187483</v>
      </c>
      <c r="I24" s="11" t="n">
        <v>0.001093999948352575</v>
      </c>
      <c r="J24" s="11" t="n">
        <v>-0.003468000097200274</v>
      </c>
      <c r="K24" s="11" t="n">
        <v>0.00229199999012053</v>
      </c>
      <c r="L24" s="11" t="n">
        <v>0.001157999970018864</v>
      </c>
      <c r="M24" s="11" t="n">
        <v>-0.004379999823868275</v>
      </c>
      <c r="N24" s="9">
        <f>AVERAGE(B24,C24,E24)</f>
        <v/>
      </c>
    </row>
    <row r="25">
      <c r="A25" s="5" t="n">
        <v>21</v>
      </c>
      <c r="B25" s="11" t="n">
        <v>-0.003888000035658479</v>
      </c>
      <c r="C25" s="11" t="n">
        <v>0.0002979999990202487</v>
      </c>
      <c r="D25" s="11" t="n">
        <v>0.001567000057548285</v>
      </c>
      <c r="E25" s="11" t="n">
        <v>0.007480999920517206</v>
      </c>
      <c r="F25" s="11" t="n">
        <v>0.004248999990522861</v>
      </c>
      <c r="G25" s="11" t="n">
        <v>0.006517999805510044</v>
      </c>
      <c r="H25" s="11" t="n">
        <v>0.0007099999929778278</v>
      </c>
      <c r="I25" s="11" t="n">
        <v>-0.002636000048369169</v>
      </c>
      <c r="J25" s="11" t="n">
        <v>0.002990999957546592</v>
      </c>
      <c r="K25" s="11" t="n">
        <v>0.001617999980226159</v>
      </c>
      <c r="L25" s="11" t="n">
        <v>0.004097000230103731</v>
      </c>
      <c r="M25" s="11" t="n">
        <v>0.002478000009432435</v>
      </c>
      <c r="N25" s="9">
        <f>AVERAGE(B25,C25,E25)</f>
        <v/>
      </c>
    </row>
    <row r="26">
      <c r="A26" s="5" t="n">
        <v>22</v>
      </c>
      <c r="B26" s="11" t="n">
        <v>0.003330999985337257</v>
      </c>
      <c r="C26" s="11" t="n">
        <v>0.004288000054657459</v>
      </c>
      <c r="D26" s="11" t="n">
        <v>0.002612000098451972</v>
      </c>
      <c r="E26" s="11" t="n">
        <v>0.002539000008255243</v>
      </c>
      <c r="F26" s="11" t="n">
        <v>5.500000042957254e-05</v>
      </c>
      <c r="G26" s="11" t="n">
        <v>0.004602999892085791</v>
      </c>
      <c r="H26" s="11" t="n">
        <v>-0.0001860000047599897</v>
      </c>
      <c r="I26" s="11" t="n">
        <v>-0.001985999988391995</v>
      </c>
      <c r="J26" s="11" t="n">
        <v>0.001398000051267445</v>
      </c>
      <c r="K26" s="11" t="n">
        <v>0.004497999791055918</v>
      </c>
      <c r="L26" s="11" t="n">
        <v>-0.0009840000420808792</v>
      </c>
      <c r="M26" s="11" t="n">
        <v>-8.099999831756577e-05</v>
      </c>
      <c r="N26" s="9">
        <f>AVERAGE(B26,C26,E26)</f>
        <v/>
      </c>
    </row>
    <row r="27">
      <c r="A27" s="5" t="n">
        <v>23</v>
      </c>
      <c r="B27" s="11" t="n">
        <v>0.0009599999757483602</v>
      </c>
      <c r="C27" s="11" t="n">
        <v>0.006465000100433826</v>
      </c>
      <c r="D27" s="11" t="n">
        <v>0.004538000095635653</v>
      </c>
      <c r="E27" s="11" t="n">
        <v>0.001821000012569129</v>
      </c>
      <c r="F27" s="11" t="n">
        <v>0.001996000064536929</v>
      </c>
      <c r="G27" s="11" t="n">
        <v>0.004046999849379063</v>
      </c>
      <c r="H27" s="11" t="n">
        <v>0.003746999893337488</v>
      </c>
      <c r="I27" s="11" t="n">
        <v>0.00215000007301569</v>
      </c>
      <c r="J27" s="11" t="n">
        <v>0.006440000142902136</v>
      </c>
      <c r="K27" s="11" t="n">
        <v>0.003889000043272972</v>
      </c>
      <c r="L27" s="11" t="n">
        <v>0.01272100023925304</v>
      </c>
      <c r="M27" s="11" t="n">
        <v>0.00242400006391108</v>
      </c>
      <c r="N27" s="9">
        <f>AVERAGE(B27,C27,E27)</f>
        <v/>
      </c>
    </row>
    <row r="28">
      <c r="A28" s="5" t="n">
        <v>24</v>
      </c>
      <c r="B28" s="11" t="n">
        <v>0.001269000000320375</v>
      </c>
      <c r="C28" s="11" t="n">
        <v>0.002716999966651201</v>
      </c>
      <c r="D28" s="11" t="n">
        <v>0.001510999980382621</v>
      </c>
      <c r="E28" s="11" t="n">
        <v>0.003659999929368496</v>
      </c>
      <c r="F28" s="11" t="n">
        <v>0.003273000009357929</v>
      </c>
      <c r="G28" s="11" t="n">
        <v>0.005617999937385321</v>
      </c>
      <c r="H28" s="11" t="n">
        <v>0.0002629999944474548</v>
      </c>
      <c r="I28" s="11" t="n">
        <v>0.001542999991215765</v>
      </c>
      <c r="J28" s="11" t="n">
        <v>0.004410999827086926</v>
      </c>
      <c r="K28" s="11" t="n">
        <v>0.0002830000012181699</v>
      </c>
      <c r="L28" s="11" t="n">
        <v>-0.006424999795854092</v>
      </c>
      <c r="M28" s="11" t="n">
        <v>0.001858999952673912</v>
      </c>
      <c r="N28" s="9">
        <f>AVERAGE(B28,C28,E28)</f>
        <v/>
      </c>
    </row>
    <row r="29">
      <c r="A29" s="5" t="n">
        <v>25</v>
      </c>
      <c r="B29" s="11" t="n">
        <v>0.002842999994754791</v>
      </c>
      <c r="C29" s="11" t="n">
        <v>-0.0003779999969992787</v>
      </c>
      <c r="D29" s="11" t="n">
        <v>-0.002090000081807375</v>
      </c>
      <c r="E29" s="11" t="n">
        <v>-1.599999995960388e-05</v>
      </c>
      <c r="F29" s="11" t="n">
        <v>-0.0003269999870099127</v>
      </c>
      <c r="G29" s="11" t="n">
        <v>0.003484999993816018</v>
      </c>
      <c r="H29" s="11" t="n">
        <v>-0.0009420000133104622</v>
      </c>
      <c r="I29" s="11" t="n">
        <v>-0.0004370000096969306</v>
      </c>
      <c r="J29" s="11" t="n">
        <v>0.003201999934390187</v>
      </c>
      <c r="K29" s="11" t="n">
        <v>-0.0004079999926034361</v>
      </c>
      <c r="L29" s="11" t="n">
        <v>0.01768999919295311</v>
      </c>
      <c r="M29" s="11" t="n">
        <v>0.001108999946154654</v>
      </c>
      <c r="N29" s="9">
        <f>AVERAGE(B29,C29,E29)</f>
        <v/>
      </c>
    </row>
    <row r="30">
      <c r="A30" s="5" t="n">
        <v>26</v>
      </c>
      <c r="B30" s="11" t="n">
        <v>0.005018000025302172</v>
      </c>
      <c r="C30" s="11" t="n">
        <v>0.006994000170379877</v>
      </c>
      <c r="D30" s="11" t="n">
        <v>0.006806999910622835</v>
      </c>
      <c r="E30" s="11" t="n">
        <v>0.004844999872148037</v>
      </c>
      <c r="F30" s="11" t="n">
        <v>0.0020240000449121</v>
      </c>
      <c r="G30" s="11" t="n">
        <v>-0.004151999950408936</v>
      </c>
      <c r="H30" s="11" t="n">
        <v>-0.0006339999963529408</v>
      </c>
      <c r="I30" s="11" t="n">
        <v>2.499999936844688e-05</v>
      </c>
      <c r="J30" s="11" t="n">
        <v>0.0009730000165291131</v>
      </c>
      <c r="K30" s="11" t="n">
        <v>-0.0002419999946141616</v>
      </c>
      <c r="L30" s="11" t="n">
        <v>0.00635599996894598</v>
      </c>
      <c r="M30" s="11" t="n">
        <v>0.004149000160396099</v>
      </c>
      <c r="N30" s="9">
        <f>AVERAGE(B30,C30,E30)</f>
        <v/>
      </c>
    </row>
    <row r="31">
      <c r="A31" s="5" t="n">
        <v>27</v>
      </c>
      <c r="B31" s="11" t="n">
        <v>0.007780999876558781</v>
      </c>
      <c r="C31" s="11" t="n">
        <v>0.004515000153332949</v>
      </c>
      <c r="D31" s="11" t="n">
        <v>0.007354000117629766</v>
      </c>
      <c r="E31" s="11" t="n">
        <v>0.005896999966353178</v>
      </c>
      <c r="F31" s="11" t="n">
        <v>0.00150400004349649</v>
      </c>
      <c r="G31" s="11" t="n">
        <v>0.008330999873578548</v>
      </c>
      <c r="H31" s="11" t="n">
        <v>0.002881000051274896</v>
      </c>
      <c r="I31" s="11" t="n">
        <v>0.0009640000062063336</v>
      </c>
      <c r="J31" s="11" t="n">
        <v>0.007065000012516975</v>
      </c>
      <c r="K31" s="11" t="n">
        <v>0.002872999990358949</v>
      </c>
      <c r="L31" s="11" t="n">
        <v>0.002991999965161085</v>
      </c>
      <c r="M31" s="11" t="n">
        <v>0.001887000049464405</v>
      </c>
      <c r="N31" s="9">
        <f>AVERAGE(B31,C31,E31)</f>
        <v/>
      </c>
    </row>
    <row r="32">
      <c r="A32" s="5" t="n">
        <v>28</v>
      </c>
      <c r="B32" s="11" t="n">
        <v>0.006713000126183033</v>
      </c>
      <c r="C32" s="11" t="n">
        <v>0.002160999923944473</v>
      </c>
      <c r="D32" s="11" t="n">
        <v>0.008419999852776527</v>
      </c>
      <c r="E32" s="11" t="n">
        <v>0.0056059998460114</v>
      </c>
      <c r="F32" s="11" t="n">
        <v>0.005289999768137932</v>
      </c>
      <c r="G32" s="11" t="n">
        <v>0.01317999977618456</v>
      </c>
      <c r="H32" s="11" t="n">
        <v>0.005140000022947788</v>
      </c>
      <c r="I32" s="11" t="n">
        <v>0.001480999984778464</v>
      </c>
      <c r="J32" s="11" t="n">
        <v>0.005969000048935413</v>
      </c>
      <c r="K32" s="11" t="n">
        <v>0.004195000045001507</v>
      </c>
      <c r="L32" s="11" t="n">
        <v>0.0173179991543293</v>
      </c>
      <c r="M32" s="11" t="n">
        <v>-0.000155999994603917</v>
      </c>
      <c r="N32" s="9">
        <f>AVERAGE(B32,C32,E32)</f>
        <v/>
      </c>
    </row>
    <row r="33">
      <c r="A33" s="5" t="n">
        <v>29</v>
      </c>
      <c r="B33" s="11" t="n">
        <v>-0.0002149999927496538</v>
      </c>
      <c r="C33" s="11" t="n">
        <v>-0.002054000040516257</v>
      </c>
      <c r="D33" s="11" t="n">
        <v>0.0002119999990100041</v>
      </c>
      <c r="E33" s="11" t="n">
        <v>0.005272000096738338</v>
      </c>
      <c r="F33" s="11" t="n">
        <v>0.001765000051818788</v>
      </c>
      <c r="G33" s="11" t="n">
        <v>0.004902999848127365</v>
      </c>
      <c r="H33" s="11" t="n">
        <v>-0.0003359999973326921</v>
      </c>
      <c r="I33" s="11" t="n">
        <v>-0.0003309999883640558</v>
      </c>
      <c r="J33" s="11" t="n">
        <v>-0.001266999985091388</v>
      </c>
      <c r="K33" s="11" t="n">
        <v>0.001921999966725707</v>
      </c>
      <c r="L33" s="11" t="n">
        <v>0.003911000210791826</v>
      </c>
      <c r="M33" s="11" t="n">
        <v>0.0009720000089146197</v>
      </c>
      <c r="N33" s="9">
        <f>AVERAGE(B33,C33,E33)</f>
        <v/>
      </c>
    </row>
    <row r="34">
      <c r="A34" s="5" t="n">
        <v>30</v>
      </c>
      <c r="B34" s="11" t="n">
        <v>0.00227000005543232</v>
      </c>
      <c r="C34" s="11" t="n">
        <v>0.005787000060081482</v>
      </c>
      <c r="D34" s="11" t="n">
        <v>0.006738000083714724</v>
      </c>
      <c r="E34" s="11" t="n">
        <v>0.005400000140070915</v>
      </c>
      <c r="F34" s="11" t="n">
        <v>0.001322000054642558</v>
      </c>
      <c r="G34" s="11" t="n">
        <v>0.007464000023901463</v>
      </c>
      <c r="H34" s="11" t="n">
        <v>0.0009619999909773469</v>
      </c>
      <c r="I34" s="11" t="n">
        <v>-0.001377000007778406</v>
      </c>
      <c r="J34" s="11" t="n">
        <v>-0.003374000079929829</v>
      </c>
      <c r="K34" s="11" t="n">
        <v>0.002224999945610762</v>
      </c>
      <c r="L34" s="11" t="n">
        <v>0.01411500014364719</v>
      </c>
      <c r="M34" s="11" t="n">
        <v>-2.099999983329326e-05</v>
      </c>
      <c r="N34" s="9">
        <f>AVERAGE(B34,C34,E34)</f>
        <v/>
      </c>
    </row>
    <row r="35">
      <c r="A35" s="5" t="n">
        <v>31</v>
      </c>
      <c r="B35" s="11" t="n">
        <v>0.004002000205218792</v>
      </c>
      <c r="C35" s="11" t="n">
        <v>0.0007459999760612845</v>
      </c>
      <c r="D35" s="11" t="n">
        <v>0.003980000037699938</v>
      </c>
      <c r="E35" s="11" t="n">
        <v>0.0004670000053010881</v>
      </c>
      <c r="F35" s="11" t="n">
        <v>0.003756999969482422</v>
      </c>
      <c r="G35" s="11" t="n">
        <v>0.00267300009727478</v>
      </c>
      <c r="H35" s="11" t="n">
        <v>0.002205000026151538</v>
      </c>
      <c r="I35" s="11" t="n">
        <v>0.002398000098764896</v>
      </c>
      <c r="J35" s="11" t="n">
        <v>0.002297000028192997</v>
      </c>
      <c r="K35" s="11" t="n">
        <v>-0.001653000013902783</v>
      </c>
      <c r="L35" s="11" t="n">
        <v>-0.002463999902829528</v>
      </c>
      <c r="M35" s="11" t="n">
        <v>0.001889999955892563</v>
      </c>
      <c r="N35" s="9">
        <f>AVERAGE(B35,C35,E35)</f>
        <v/>
      </c>
    </row>
    <row r="36">
      <c r="A36" s="5" t="n">
        <v>32</v>
      </c>
      <c r="B36" s="11" t="n">
        <v>0.008085999637842178</v>
      </c>
      <c r="C36" s="11" t="n">
        <v>0.007588999811559916</v>
      </c>
      <c r="D36" s="11" t="n">
        <v>0.001035999972373247</v>
      </c>
      <c r="E36" s="11" t="n">
        <v>0.006409999914467335</v>
      </c>
      <c r="F36" s="11" t="n">
        <v>0.003402000060304999</v>
      </c>
      <c r="G36" s="11" t="n">
        <v>0.005001999903470278</v>
      </c>
      <c r="H36" s="11" t="n">
        <v>0.004658999852836132</v>
      </c>
      <c r="I36" s="11" t="n">
        <v>0.001383000053465366</v>
      </c>
      <c r="J36" s="11" t="n">
        <v>0.001543999998830259</v>
      </c>
      <c r="K36" s="11" t="n">
        <v>0.001942000002600253</v>
      </c>
      <c r="L36" s="11" t="n">
        <v>0.001149000017903745</v>
      </c>
      <c r="M36" s="11" t="n">
        <v>0.001318000024184585</v>
      </c>
      <c r="N36" s="9">
        <f>AVERAGE(B36,C36,E36)</f>
        <v/>
      </c>
    </row>
    <row r="37">
      <c r="A37" s="5" t="n">
        <v>33</v>
      </c>
      <c r="B37" s="11" t="n">
        <v>-0.0009749999735504389</v>
      </c>
      <c r="C37" s="11" t="n">
        <v>-0.001625000033527613</v>
      </c>
      <c r="D37" s="11" t="n">
        <v>-0.002774999942630529</v>
      </c>
      <c r="E37" s="11" t="n">
        <v>0.001334000029601157</v>
      </c>
      <c r="F37" s="11" t="n">
        <v>0.004482999909669161</v>
      </c>
      <c r="G37" s="11" t="n">
        <v>-0.002855000086128712</v>
      </c>
      <c r="H37" s="11" t="n">
        <v>0.001257000025361776</v>
      </c>
      <c r="I37" s="11" t="n">
        <v>-0.000101999998150859</v>
      </c>
      <c r="J37" s="11" t="n">
        <v>0.003103000111877918</v>
      </c>
      <c r="K37" s="11" t="n">
        <v>-0.003709000069648027</v>
      </c>
      <c r="L37" s="11" t="n">
        <v>-0.00092299998505041</v>
      </c>
      <c r="M37" s="11" t="n">
        <v>-0.00173200003337115</v>
      </c>
      <c r="N37" s="9">
        <f>AVERAGE(B37,C37,E37)</f>
        <v/>
      </c>
    </row>
    <row r="38">
      <c r="A38" s="5" t="n">
        <v>34</v>
      </c>
      <c r="B38" s="11" t="n">
        <v>0.003745999885722995</v>
      </c>
      <c r="C38" s="11" t="n">
        <v>0.002337000099942088</v>
      </c>
      <c r="D38" s="11" t="n">
        <v>0.008259999565780163</v>
      </c>
      <c r="E38" s="11" t="n">
        <v>0.004304000176489353</v>
      </c>
      <c r="F38" s="11" t="n">
        <v>0.003505999920889735</v>
      </c>
      <c r="G38" s="11" t="n">
        <v>0.007712000049650669</v>
      </c>
      <c r="H38" s="11" t="n">
        <v>-0.0005239999736659229</v>
      </c>
      <c r="I38" s="11" t="n">
        <v>0.004257999826222658</v>
      </c>
      <c r="J38" s="11" t="n">
        <v>-0.001053999993018806</v>
      </c>
      <c r="K38" s="11" t="n">
        <v>0.001774000003933907</v>
      </c>
      <c r="L38" s="11" t="n">
        <v>0.003024999983608723</v>
      </c>
      <c r="M38" s="11" t="n">
        <v>0.002477000001817942</v>
      </c>
      <c r="N38" s="9">
        <f>AVERAGE(B38,C38,E38)</f>
        <v/>
      </c>
    </row>
    <row r="39">
      <c r="A39" s="5" t="n">
        <v>35</v>
      </c>
      <c r="B39" s="11" t="n">
        <v>0.008131000213325024</v>
      </c>
      <c r="C39" s="11" t="n">
        <v>0.004036999773234129</v>
      </c>
      <c r="D39" s="11" t="n">
        <v>0.007819999940693378</v>
      </c>
      <c r="E39" s="11" t="n">
        <v>0.007919000461697578</v>
      </c>
      <c r="F39" s="11" t="n">
        <v>0.002961999969556928</v>
      </c>
      <c r="G39" s="11" t="n">
        <v>0.01582900062203407</v>
      </c>
      <c r="H39" s="11" t="n">
        <v>0.00228899996727705</v>
      </c>
      <c r="I39" s="11" t="n">
        <v>0.002525999909266829</v>
      </c>
      <c r="J39" s="11" t="n">
        <v>0.003733000019565225</v>
      </c>
      <c r="K39" s="11" t="n">
        <v>0.002608000067993999</v>
      </c>
      <c r="L39" s="11" t="n">
        <v>0.01078400015830994</v>
      </c>
      <c r="M39" s="11" t="n">
        <v>0.005648000165820122</v>
      </c>
      <c r="N39" s="9">
        <f>AVERAGE(B39,C39,E39)</f>
        <v/>
      </c>
    </row>
    <row r="40">
      <c r="A40" s="5" t="n">
        <v>36</v>
      </c>
      <c r="B40" s="11" t="n">
        <v>-0.0004870000120718032</v>
      </c>
      <c r="C40" s="11" t="n">
        <v>0.007060999982059002</v>
      </c>
      <c r="D40" s="11" t="n">
        <v>0.002317999955266714</v>
      </c>
      <c r="E40" s="11" t="n">
        <v>0.003628999926149845</v>
      </c>
      <c r="F40" s="11" t="n">
        <v>0.004896999802440405</v>
      </c>
      <c r="G40" s="11" t="n">
        <v>0.009914999827742577</v>
      </c>
      <c r="H40" s="11" t="n">
        <v>0.002637000055983663</v>
      </c>
      <c r="I40" s="11" t="n">
        <v>0.004219000227749348</v>
      </c>
      <c r="J40" s="11" t="n">
        <v>0.0064690001308918</v>
      </c>
      <c r="K40" s="11" t="n">
        <v>0.002384999999776483</v>
      </c>
      <c r="L40" s="11" t="n">
        <v>0.005797999911010265</v>
      </c>
      <c r="M40" s="11" t="n">
        <v>0.003361999988555908</v>
      </c>
      <c r="N40" s="9">
        <f>AVERAGE(B40,C40,E40)</f>
        <v/>
      </c>
    </row>
    <row r="41">
      <c r="A41" s="5" t="n">
        <v>37</v>
      </c>
      <c r="B41" s="11" t="n">
        <v>0.0006689999718219042</v>
      </c>
      <c r="C41" s="11" t="n">
        <v>0.003246000036597252</v>
      </c>
      <c r="D41" s="11" t="n">
        <v>0.001281999982893467</v>
      </c>
      <c r="E41" s="11" t="n">
        <v>0.002113000024110079</v>
      </c>
      <c r="F41" s="11" t="n">
        <v>0.002491000108420849</v>
      </c>
      <c r="G41" s="11" t="n">
        <v>0.003132000099867582</v>
      </c>
      <c r="H41" s="11" t="n">
        <v>0.002358000027015805</v>
      </c>
      <c r="I41" s="11" t="n">
        <v>-0.0003319999959785491</v>
      </c>
      <c r="J41" s="11" t="n">
        <v>0.003234999952837825</v>
      </c>
      <c r="K41" s="11" t="n">
        <v>0.002088000066578388</v>
      </c>
      <c r="L41" s="11" t="n">
        <v>0.00403500022366643</v>
      </c>
      <c r="M41" s="11" t="n">
        <v>0.002535999985411763</v>
      </c>
      <c r="N41" s="9">
        <f>AVERAGE(B41,C41,E41)</f>
        <v/>
      </c>
    </row>
    <row r="42">
      <c r="A42" s="5" t="n">
        <v>38</v>
      </c>
      <c r="B42" s="11" t="n">
        <v>0.002349999966099858</v>
      </c>
      <c r="C42" s="11" t="n">
        <v>0.00430000014603138</v>
      </c>
      <c r="D42" s="11" t="n">
        <v>0.006291000172495842</v>
      </c>
      <c r="E42" s="11" t="n">
        <v>0.006810000166296959</v>
      </c>
      <c r="F42" s="11" t="n">
        <v>0.002420000033453107</v>
      </c>
      <c r="G42" s="11" t="n">
        <v>0.004759999923408031</v>
      </c>
      <c r="H42" s="11" t="n">
        <v>0.001777000026777387</v>
      </c>
      <c r="I42" s="11" t="n">
        <v>-0.0003429999924264848</v>
      </c>
      <c r="J42" s="11" t="n">
        <v>0.001860999967902899</v>
      </c>
      <c r="K42" s="11" t="n">
        <v>-4.199999966658652e-05</v>
      </c>
      <c r="L42" s="11" t="n">
        <v>-0.001976999919861555</v>
      </c>
      <c r="M42" s="11" t="n">
        <v>-0.000211000005947426</v>
      </c>
      <c r="N42" s="9">
        <f>AVERAGE(B42,C42,E42)</f>
        <v/>
      </c>
    </row>
    <row r="43">
      <c r="A43" s="5" t="n">
        <v>39</v>
      </c>
      <c r="B43" s="11" t="n">
        <v>0.005400000140070915</v>
      </c>
      <c r="C43" s="11" t="n">
        <v>0.004542999900877476</v>
      </c>
      <c r="D43" s="11" t="n">
        <v>0.00317499996162951</v>
      </c>
      <c r="E43" s="11" t="n">
        <v>0.003240999998524785</v>
      </c>
      <c r="F43" s="11" t="n">
        <v>0.004011999815702438</v>
      </c>
      <c r="G43" s="11" t="n">
        <v>0.004803000018000603</v>
      </c>
      <c r="H43" s="11" t="n">
        <v>0.0006510000093840063</v>
      </c>
      <c r="I43" s="11" t="n">
        <v>0.001762000028975308</v>
      </c>
      <c r="J43" s="11" t="n">
        <v>0.006277000065892935</v>
      </c>
      <c r="K43" s="11" t="n">
        <v>-0.001813999959267676</v>
      </c>
      <c r="L43" s="11" t="n">
        <v>0.006945999804884195</v>
      </c>
      <c r="M43" s="11" t="n">
        <v>0.0009800000116229057</v>
      </c>
      <c r="N43" s="9">
        <f>AVERAGE(B43,C43,E43)</f>
        <v/>
      </c>
    </row>
    <row r="44">
      <c r="A44" s="5" t="n">
        <v>40</v>
      </c>
      <c r="B44" s="11" t="n">
        <v>0.001383999944664538</v>
      </c>
      <c r="C44" s="11" t="n">
        <v>0.001555999973788857</v>
      </c>
      <c r="D44" s="11" t="n">
        <v>-0.0003070000093430281</v>
      </c>
      <c r="E44" s="11" t="n">
        <v>-0.0009800000116229057</v>
      </c>
      <c r="F44" s="11" t="n">
        <v>-0.002149000065401196</v>
      </c>
      <c r="G44" s="11" t="n">
        <v>0.00184599997010082</v>
      </c>
      <c r="H44" s="11" t="n">
        <v>0.003368000034242868</v>
      </c>
      <c r="I44" s="11" t="n">
        <v>0.0008989999769255519</v>
      </c>
      <c r="J44" s="11" t="n">
        <v>-0.00434499979019165</v>
      </c>
      <c r="K44" s="11" t="n">
        <v>0.000211000005947426</v>
      </c>
      <c r="L44" s="11" t="n">
        <v>0.009522999636828899</v>
      </c>
      <c r="M44" s="11" t="n">
        <v>0.002677999902516603</v>
      </c>
      <c r="N44" s="9">
        <f>AVERAGE(B44,C44,E44)</f>
        <v/>
      </c>
    </row>
    <row r="45">
      <c r="A45" s="5" t="n">
        <v>41</v>
      </c>
      <c r="B45" s="11" t="n">
        <v>0.002933999989181757</v>
      </c>
      <c r="C45" s="11" t="n">
        <v>-0.00100899999961257</v>
      </c>
      <c r="D45" s="11" t="n">
        <v>-0.0009820000268518925</v>
      </c>
      <c r="E45" s="11" t="n">
        <v>-0.000459000002592802</v>
      </c>
      <c r="F45" s="11" t="n">
        <v>0.00239900010637939</v>
      </c>
      <c r="G45" s="11" t="n">
        <v>-0.004395000170916319</v>
      </c>
      <c r="H45" s="11" t="n">
        <v>-0.002954999916255474</v>
      </c>
      <c r="I45" s="11" t="n">
        <v>0.003738000057637691</v>
      </c>
      <c r="J45" s="11" t="n">
        <v>-0.01148900017142296</v>
      </c>
      <c r="K45" s="11" t="n">
        <v>-0.002002000110223889</v>
      </c>
      <c r="L45" s="11" t="n">
        <v>0.008407999761402607</v>
      </c>
      <c r="M45" s="11" t="n">
        <v>-0.001974999904632568</v>
      </c>
      <c r="N45" s="9">
        <f>AVERAGE(B45,C45,E45)</f>
        <v/>
      </c>
    </row>
    <row r="46">
      <c r="A46" s="5" t="n">
        <v>42</v>
      </c>
      <c r="B46" s="11" t="n">
        <v>0.0006339999963529408</v>
      </c>
      <c r="C46" s="11" t="n">
        <v>-0.0001180000035674311</v>
      </c>
      <c r="D46" s="11" t="n">
        <v>0.005417000036686659</v>
      </c>
      <c r="E46" s="11" t="n">
        <v>0.004116000141948462</v>
      </c>
      <c r="F46" s="11" t="n">
        <v>0.001438000006601214</v>
      </c>
      <c r="G46" s="11" t="n">
        <v>0.01255999971181154</v>
      </c>
      <c r="H46" s="11" t="n">
        <v>-0.001597999944351614</v>
      </c>
      <c r="I46" s="11" t="n">
        <v>-0.0005389999714680016</v>
      </c>
      <c r="J46" s="11" t="n">
        <v>0.00216299993917346</v>
      </c>
      <c r="K46" s="11" t="n">
        <v>-0.000547999981790781</v>
      </c>
      <c r="L46" s="11" t="n">
        <v>0.007621000055223703</v>
      </c>
      <c r="M46" s="11" t="n">
        <v>0.001642000046558678</v>
      </c>
      <c r="N46" s="9">
        <f>AVERAGE(B46,C46,E46)</f>
        <v/>
      </c>
    </row>
    <row r="47">
      <c r="A47" s="5" t="n">
        <v>43</v>
      </c>
      <c r="B47" s="11" t="n">
        <v>-0.0002209999947808683</v>
      </c>
      <c r="C47" s="11" t="n">
        <v>0.002326000016182661</v>
      </c>
      <c r="D47" s="11" t="n">
        <v>-0.002130999928340316</v>
      </c>
      <c r="E47" s="11" t="n">
        <v>-0.002767000114545226</v>
      </c>
      <c r="F47" s="11" t="n">
        <v>-0.005526000168174505</v>
      </c>
      <c r="G47" s="11" t="n">
        <v>0.01160699967294931</v>
      </c>
      <c r="H47" s="11" t="n">
        <v>0.005650000181049109</v>
      </c>
      <c r="I47" s="11" t="n">
        <v>0.002344999928027391</v>
      </c>
      <c r="J47" s="11" t="n">
        <v>0.007797999773174524</v>
      </c>
      <c r="K47" s="11" t="n">
        <v>-0.0006799999973736703</v>
      </c>
      <c r="L47" s="11" t="n">
        <v>0.002070999937132001</v>
      </c>
      <c r="M47" s="11" t="n">
        <v>-0.0007479999912902713</v>
      </c>
      <c r="N47" s="9">
        <f>AVERAGE(B47,C47,E47)</f>
        <v/>
      </c>
    </row>
    <row r="48">
      <c r="A48" s="5" t="n">
        <v>44</v>
      </c>
      <c r="B48" s="11" t="n">
        <v>0.007048999890685081</v>
      </c>
      <c r="C48" s="11" t="n">
        <v>0.001398999942466617</v>
      </c>
      <c r="D48" s="11" t="n">
        <v>0.00239300006069243</v>
      </c>
      <c r="E48" s="11" t="n">
        <v>0.002758000046014786</v>
      </c>
      <c r="F48" s="11" t="n">
        <v>0.001429000054486096</v>
      </c>
      <c r="G48" s="11" t="n">
        <v>0.004110999871045351</v>
      </c>
      <c r="H48" s="11" t="n">
        <v>0.0008580000139772892</v>
      </c>
      <c r="I48" s="11" t="n">
        <v>-0.0005409999866969883</v>
      </c>
      <c r="J48" s="11" t="n">
        <v>-0.003862000070512295</v>
      </c>
      <c r="K48" s="11" t="n">
        <v>0.0007459999760612845</v>
      </c>
      <c r="L48" s="11" t="n">
        <v>0.003289999905973673</v>
      </c>
      <c r="M48" s="11" t="n">
        <v>0.0002090000052703544</v>
      </c>
      <c r="N48" s="9">
        <f>AVERAGE(B48,C48,E48)</f>
        <v/>
      </c>
    </row>
    <row r="49">
      <c r="A49" s="5" t="n">
        <v>45</v>
      </c>
      <c r="B49" s="11" t="n">
        <v>-0.002924999920651317</v>
      </c>
      <c r="C49" s="11" t="n">
        <v>0.007712999824434519</v>
      </c>
      <c r="D49" s="11" t="n">
        <v>0.00408599991351366</v>
      </c>
      <c r="E49" s="11" t="n">
        <v>0.001341999974101782</v>
      </c>
      <c r="F49" s="11" t="n">
        <v>0.001631999970413744</v>
      </c>
      <c r="G49" s="11" t="n">
        <v>0.00520299980416894</v>
      </c>
      <c r="H49" s="11" t="n">
        <v>-0.0009990000398829579</v>
      </c>
      <c r="I49" s="11" t="n">
        <v>0.004786000121384859</v>
      </c>
      <c r="J49" s="11" t="n">
        <v>0.005071999970823526</v>
      </c>
      <c r="K49" s="11" t="n">
        <v>-0.002202000003308058</v>
      </c>
      <c r="L49" s="11" t="n">
        <v>0.01150900032371283</v>
      </c>
      <c r="M49" s="11" t="n">
        <v>0.003812999930232763</v>
      </c>
      <c r="N49" s="9">
        <f>AVERAGE(B49,C49,E49)</f>
        <v/>
      </c>
    </row>
    <row r="50">
      <c r="A50" s="5" t="n">
        <v>46</v>
      </c>
      <c r="B50" s="11" t="n">
        <v>0.002342999912798405</v>
      </c>
      <c r="C50" s="11" t="n">
        <v>0.002333000069484115</v>
      </c>
      <c r="D50" s="11" t="n">
        <v>0.003776999888941646</v>
      </c>
      <c r="E50" s="11" t="n">
        <v>0.005805000197142363</v>
      </c>
      <c r="F50" s="11" t="n">
        <v>-0.003267999971285462</v>
      </c>
      <c r="G50" s="11" t="n">
        <v>0.002920999890193343</v>
      </c>
      <c r="H50" s="11" t="n">
        <v>0.001312999986112118</v>
      </c>
      <c r="I50" s="11" t="n">
        <v>-0.002138999989256263</v>
      </c>
      <c r="J50" s="11" t="n">
        <v>-0.001664999988861382</v>
      </c>
      <c r="K50" s="11" t="n">
        <v>0.0009089999948628247</v>
      </c>
      <c r="L50" s="11" t="n">
        <v>0.004042999818921089</v>
      </c>
      <c r="M50" s="11" t="n">
        <v>-0.0007699999841861427</v>
      </c>
      <c r="N50" s="9">
        <f>AVERAGE(B50,C50,E50)</f>
        <v/>
      </c>
    </row>
    <row r="51">
      <c r="A51" s="5" t="n">
        <v>47</v>
      </c>
      <c r="B51" s="11" t="n">
        <v>0.004939000122249126</v>
      </c>
      <c r="C51" s="11" t="n">
        <v>-0.001057000015862286</v>
      </c>
      <c r="D51" s="11" t="n">
        <v>0.001870000036433339</v>
      </c>
      <c r="E51" s="11" t="n">
        <v>0.004610000178217888</v>
      </c>
      <c r="F51" s="11" t="n">
        <v>0.001940999994985759</v>
      </c>
      <c r="G51" s="11" t="n">
        <v>0.007981999777257442</v>
      </c>
      <c r="H51" s="11" t="n">
        <v>0.005956000182777643</v>
      </c>
      <c r="I51" s="11" t="n">
        <v>-0.00184299994725734</v>
      </c>
      <c r="J51" s="11" t="n">
        <v>0.005836000200361013</v>
      </c>
      <c r="K51" s="11" t="n">
        <v>-0.0005949999904260039</v>
      </c>
      <c r="L51" s="11" t="n">
        <v>0.0104940002784133</v>
      </c>
      <c r="M51" s="11" t="n">
        <v>-0.001098999986425042</v>
      </c>
      <c r="N51" s="9">
        <f>AVERAGE(B51,C51,E51)</f>
        <v/>
      </c>
    </row>
    <row r="52">
      <c r="A52" s="5" t="n">
        <v>48</v>
      </c>
      <c r="B52" s="11" t="n">
        <v>0.002773999935016036</v>
      </c>
      <c r="C52" s="11" t="n">
        <v>0.002002000110223889</v>
      </c>
      <c r="D52" s="11" t="n">
        <v>-0.0008609999786131084</v>
      </c>
      <c r="E52" s="11" t="n">
        <v>0.003179999999701977</v>
      </c>
      <c r="F52" s="11" t="n">
        <v>-0.001586999977007508</v>
      </c>
      <c r="G52" s="11" t="n">
        <v>0.001925999997183681</v>
      </c>
      <c r="H52" s="11" t="n">
        <v>-0.002942000050097704</v>
      </c>
      <c r="I52" s="11" t="n">
        <v>0.001201999955810606</v>
      </c>
      <c r="J52" s="11" t="n">
        <v>0.006043999921530485</v>
      </c>
      <c r="K52" s="11" t="n">
        <v>0.001640000031329691</v>
      </c>
      <c r="L52" s="11" t="n">
        <v>0.00356200011447072</v>
      </c>
      <c r="M52" s="11" t="n">
        <v>0.001176999998278916</v>
      </c>
      <c r="N52" s="9">
        <f>AVERAGE(B52,C52,E52)</f>
        <v/>
      </c>
    </row>
    <row r="53">
      <c r="A53" s="5" t="n">
        <v>49</v>
      </c>
      <c r="B53" s="11" t="n">
        <v>0.0017750000115484</v>
      </c>
      <c r="C53" s="11" t="n">
        <v>0.005169000010937452</v>
      </c>
      <c r="D53" s="11" t="n">
        <v>0.002870999975129962</v>
      </c>
      <c r="E53" s="11" t="n">
        <v>-0.0003539999888744205</v>
      </c>
      <c r="F53" s="11" t="n">
        <v>0.0007469999836757779</v>
      </c>
      <c r="G53" s="11" t="n">
        <v>0.009948999620974064</v>
      </c>
      <c r="H53" s="11" t="n">
        <v>0.003551000030711293</v>
      </c>
      <c r="I53" s="11" t="n">
        <v>-0.001385999959893525</v>
      </c>
      <c r="J53" s="11" t="n">
        <v>-0.0008299999753944576</v>
      </c>
      <c r="K53" s="11" t="n">
        <v>0.001604999997653067</v>
      </c>
      <c r="L53" s="11" t="n">
        <v>0.00570600014179945</v>
      </c>
      <c r="M53" s="11" t="n">
        <v>0.002517000073567033</v>
      </c>
      <c r="N53" s="9">
        <f>AVERAGE(B53,C53,E53)</f>
        <v/>
      </c>
    </row>
    <row r="54">
      <c r="A54" s="5" t="n">
        <v>50</v>
      </c>
      <c r="B54" s="11" t="n">
        <v>0.002968000015243888</v>
      </c>
      <c r="C54" s="11" t="n">
        <v>0.003200999926775694</v>
      </c>
      <c r="D54" s="11" t="n">
        <v>0.005824999883770943</v>
      </c>
      <c r="E54" s="11" t="n">
        <v>0.005603999830782413</v>
      </c>
      <c r="F54" s="11" t="n">
        <v>0.005286999978125095</v>
      </c>
      <c r="G54" s="11" t="n">
        <v>0.01075400039553642</v>
      </c>
      <c r="H54" s="11" t="n">
        <v>0.005423999857157469</v>
      </c>
      <c r="I54" s="11" t="n">
        <v>0.001692999969236553</v>
      </c>
      <c r="J54" s="11" t="n">
        <v>7.100000220816582e-05</v>
      </c>
      <c r="K54" s="11" t="n">
        <v>-1.499999962106813e-05</v>
      </c>
      <c r="L54" s="11" t="n">
        <v>0.006289999932050705</v>
      </c>
      <c r="M54" s="11" t="n">
        <v>0.0009689999860711396</v>
      </c>
      <c r="N54" s="9">
        <f>AVERAGE(B54,C54,E54)</f>
        <v/>
      </c>
    </row>
    <row r="55">
      <c r="A55" s="5" t="n">
        <v>51</v>
      </c>
      <c r="B55" s="11" t="n">
        <v>0.003385999938473105</v>
      </c>
      <c r="C55" s="11" t="n">
        <v>0.0006590000120922923</v>
      </c>
      <c r="D55" s="11" t="n">
        <v>0.006002999842166901</v>
      </c>
      <c r="E55" s="11" t="n">
        <v>0.004621000029146671</v>
      </c>
      <c r="F55" s="11" t="n">
        <v>-0.0007919999770820141</v>
      </c>
      <c r="G55" s="11" t="n">
        <v>0.002009999938309193</v>
      </c>
      <c r="H55" s="11" t="n">
        <v>0.00395999988541007</v>
      </c>
      <c r="I55" s="11" t="n">
        <v>0.0003539999888744205</v>
      </c>
      <c r="J55" s="11" t="n">
        <v>0.003992999903857708</v>
      </c>
      <c r="K55" s="11" t="n">
        <v>0.000615999975707382</v>
      </c>
      <c r="L55" s="11" t="n">
        <v>-0.004705999977886677</v>
      </c>
      <c r="M55" s="11" t="n">
        <v>0.002914000069722533</v>
      </c>
      <c r="N55" s="9">
        <f>AVERAGE(B55,C55,E55)</f>
        <v/>
      </c>
    </row>
    <row r="56">
      <c r="A56" s="5" t="n">
        <v>52</v>
      </c>
      <c r="B56" s="11" t="n">
        <v>-0.0008019999950192869</v>
      </c>
      <c r="C56" s="11" t="n">
        <v>0.007207999937236309</v>
      </c>
      <c r="D56" s="11" t="n">
        <v>0.003015999915078282</v>
      </c>
      <c r="E56" s="11" t="n">
        <v>0.003544999985024333</v>
      </c>
      <c r="F56" s="11" t="n">
        <v>1.400000019202707e-05</v>
      </c>
      <c r="G56" s="11" t="n">
        <v>0.009127999655902386</v>
      </c>
      <c r="H56" s="11" t="n">
        <v>0.002555999904870987</v>
      </c>
      <c r="I56" s="11" t="n">
        <v>-0.001624000025913119</v>
      </c>
      <c r="J56" s="11" t="n">
        <v>0.003229999914765358</v>
      </c>
      <c r="K56" s="11" t="n">
        <v>0.002586999908089638</v>
      </c>
      <c r="L56" s="11" t="n">
        <v>0.0002320000057807192</v>
      </c>
      <c r="M56" s="11" t="n">
        <v>0.003136999905109406</v>
      </c>
      <c r="N56" s="9">
        <f>AVERAGE(B56,C56,E56)</f>
        <v/>
      </c>
    </row>
    <row r="57">
      <c r="A57" s="5" t="n">
        <v>53</v>
      </c>
      <c r="B57" s="11" t="n">
        <v>-0.0001720000000204891</v>
      </c>
      <c r="C57" s="11" t="n">
        <v>-0.00267699989490211</v>
      </c>
      <c r="D57" s="11" t="n">
        <v>-0.001497999997809529</v>
      </c>
      <c r="E57" s="11" t="n">
        <v>-0.004616999998688698</v>
      </c>
      <c r="F57" s="11" t="n">
        <v>-0.00101500004529953</v>
      </c>
      <c r="G57" s="11" t="n">
        <v>-0.007050000131130219</v>
      </c>
      <c r="H57" s="11" t="n">
        <v>0.001608000020496547</v>
      </c>
      <c r="I57" s="11" t="n">
        <v>-0.0008149999775923789</v>
      </c>
      <c r="J57" s="11" t="n">
        <v>-0.003398000029847026</v>
      </c>
      <c r="K57" s="11" t="n">
        <v>0.0003549999964889139</v>
      </c>
      <c r="L57" s="11" t="n">
        <v>-0.003407000098377466</v>
      </c>
      <c r="M57" s="11" t="n">
        <v>0.0007379999733529985</v>
      </c>
      <c r="N57" s="9">
        <f>AVERAGE(B57,C57,E57)</f>
        <v/>
      </c>
    </row>
    <row r="58">
      <c r="A58" s="5" t="n">
        <v>54</v>
      </c>
      <c r="B58" s="11" t="n">
        <v>0.008573999628424644</v>
      </c>
      <c r="C58" s="11" t="n">
        <v>0.004788999911397696</v>
      </c>
      <c r="D58" s="11" t="n">
        <v>0.006022999994456768</v>
      </c>
      <c r="E58" s="11" t="n">
        <v>0.004021000117063522</v>
      </c>
      <c r="F58" s="11" t="n">
        <v>0.003315000096336007</v>
      </c>
      <c r="G58" s="11" t="n">
        <v>0.01119400002062321</v>
      </c>
      <c r="H58" s="11" t="n">
        <v>0.002190999919548631</v>
      </c>
      <c r="I58" s="11" t="n">
        <v>-0.0003180000057909638</v>
      </c>
      <c r="J58" s="11" t="n">
        <v>0.006680000107735395</v>
      </c>
      <c r="K58" s="11" t="n">
        <v>-0.0002709999971557409</v>
      </c>
      <c r="L58" s="11" t="n">
        <v>0.001594000030308962</v>
      </c>
      <c r="M58" s="11" t="n">
        <v>0.001173999975435436</v>
      </c>
      <c r="N58" s="9">
        <f>AVERAGE(B58,C58,E58)</f>
        <v/>
      </c>
    </row>
    <row r="59">
      <c r="A59" s="5" t="n">
        <v>55</v>
      </c>
      <c r="B59" s="11" t="n">
        <v>0.002470999956130981</v>
      </c>
      <c r="C59" s="11" t="n">
        <v>-0.001125999959185719</v>
      </c>
      <c r="D59" s="11" t="n">
        <v>0.002151000080630183</v>
      </c>
      <c r="E59" s="11" t="n">
        <v>0.002106999978423119</v>
      </c>
      <c r="F59" s="11" t="n">
        <v>-0.002161999931558967</v>
      </c>
      <c r="G59" s="11" t="n">
        <v>0.005503000225871801</v>
      </c>
      <c r="H59" s="11" t="n">
        <v>0.000674000009894371</v>
      </c>
      <c r="I59" s="11" t="n">
        <v>0.001989000011235476</v>
      </c>
      <c r="J59" s="11" t="n">
        <v>0.00343600008636713</v>
      </c>
      <c r="K59" s="11" t="n">
        <v>0.002329000039026141</v>
      </c>
      <c r="L59" s="11" t="n">
        <v>-0.0007029999978840351</v>
      </c>
      <c r="M59" s="11" t="n">
        <v>-0.0009689999860711396</v>
      </c>
      <c r="N59" s="9">
        <f>AVERAGE(B59,C59,E59)</f>
        <v/>
      </c>
    </row>
    <row r="60">
      <c r="A60" s="5" t="n">
        <v>56</v>
      </c>
      <c r="B60" s="11" t="n">
        <v>-0.0008319999906234443</v>
      </c>
      <c r="C60" s="11" t="n">
        <v>0.004575999919325113</v>
      </c>
      <c r="D60" s="11" t="n">
        <v>0.01187899988144636</v>
      </c>
      <c r="E60" s="11" t="n">
        <v>0.006593999918550253</v>
      </c>
      <c r="F60" s="11" t="n">
        <v>0.007528000045567751</v>
      </c>
      <c r="G60" s="11" t="n">
        <v>0.006957000121474266</v>
      </c>
      <c r="H60" s="11" t="n">
        <v>0.002105999970808625</v>
      </c>
      <c r="I60" s="11" t="n">
        <v>0.002296000020578504</v>
      </c>
      <c r="J60" s="11" t="n">
        <v>0.004838000051677227</v>
      </c>
      <c r="K60" s="11" t="n">
        <v>0.001174999983049929</v>
      </c>
      <c r="L60" s="11" t="n">
        <v>0.006457999814301729</v>
      </c>
      <c r="M60" s="11" t="n">
        <v>0.002681999932974577</v>
      </c>
      <c r="N60" s="9">
        <f>AVERAGE(B60,C60,E60)</f>
        <v/>
      </c>
    </row>
    <row r="61">
      <c r="A61" s="5" t="n">
        <v>57</v>
      </c>
      <c r="B61" s="11" t="n">
        <v>0.0002809999859891832</v>
      </c>
      <c r="C61" s="11" t="n">
        <v>0.003914000000804663</v>
      </c>
      <c r="D61" s="11" t="n">
        <v>0.00902200024574995</v>
      </c>
      <c r="E61" s="11" t="n">
        <v>0.002426000079140067</v>
      </c>
      <c r="F61" s="11" t="n">
        <v>0.004846999887377024</v>
      </c>
      <c r="G61" s="11" t="n">
        <v>0.008067999966442585</v>
      </c>
      <c r="H61" s="11" t="n">
        <v>0.0008989999769255519</v>
      </c>
      <c r="I61" s="11" t="n">
        <v>-0.002142000012099743</v>
      </c>
      <c r="J61" s="11" t="n">
        <v>0.01101099979132414</v>
      </c>
      <c r="K61" s="11" t="n">
        <v>0.001925999997183681</v>
      </c>
      <c r="L61" s="11" t="n">
        <v>0.004838999826461077</v>
      </c>
      <c r="M61" s="11" t="n">
        <v>-0.001591000007465482</v>
      </c>
      <c r="N61" s="9">
        <f>AVERAGE(B61,C61,E61)</f>
        <v/>
      </c>
    </row>
    <row r="62">
      <c r="A62" s="5" t="n">
        <v>58</v>
      </c>
      <c r="B62" s="11" t="n">
        <v>0.003924000076949596</v>
      </c>
      <c r="C62" s="11" t="n">
        <v>0.0008590000215917826</v>
      </c>
      <c r="D62" s="11" t="n">
        <v>0.006666999775916338</v>
      </c>
      <c r="E62" s="11" t="n">
        <v>0.002331000054255128</v>
      </c>
      <c r="F62" s="11" t="n">
        <v>0.003773000091314316</v>
      </c>
      <c r="G62" s="11" t="n">
        <v>0.01377199962735176</v>
      </c>
      <c r="H62" s="11" t="n">
        <v>0.003581000026315451</v>
      </c>
      <c r="I62" s="11" t="n">
        <v>0.0005489999894052744</v>
      </c>
      <c r="J62" s="11" t="n">
        <v>0.001227000029757619</v>
      </c>
      <c r="K62" s="11" t="n">
        <v>8.900000102585182e-05</v>
      </c>
      <c r="L62" s="11" t="n">
        <v>-0.003091000020503998</v>
      </c>
      <c r="M62" s="11" t="n">
        <v>0.00189499999396503</v>
      </c>
      <c r="N62" s="9">
        <f>AVERAGE(B62,C62,E62)</f>
        <v/>
      </c>
    </row>
    <row r="63">
      <c r="A63" s="5" t="n">
        <v>59</v>
      </c>
      <c r="B63" s="11" t="n">
        <v>0.003806999884545803</v>
      </c>
      <c r="C63" s="11" t="n">
        <v>0.005392999853938818</v>
      </c>
      <c r="D63" s="11" t="n">
        <v>0.004069999791681767</v>
      </c>
      <c r="E63" s="11" t="n">
        <v>0.006804000120609999</v>
      </c>
      <c r="F63" s="11" t="n">
        <v>0.00141200004145503</v>
      </c>
      <c r="G63" s="11" t="n">
        <v>0.006674999836832285</v>
      </c>
      <c r="H63" s="11" t="n">
        <v>0.004182999953627586</v>
      </c>
      <c r="I63" s="11" t="n">
        <v>0.0008290000259876251</v>
      </c>
      <c r="J63" s="11" t="n">
        <v>0.009018000215291977</v>
      </c>
      <c r="K63" s="11" t="n">
        <v>0.000395999988541007</v>
      </c>
      <c r="L63" s="11" t="n">
        <v>0.008061000145971775</v>
      </c>
      <c r="M63" s="11" t="n">
        <v>0.004528000019490719</v>
      </c>
      <c r="N63" s="9">
        <f>AVERAGE(B63,C63,E63)</f>
        <v/>
      </c>
    </row>
    <row r="64">
      <c r="A64" s="5" t="n">
        <v>60</v>
      </c>
      <c r="B64" s="11" t="n">
        <v>-0.0001160000028903596</v>
      </c>
      <c r="C64" s="11" t="n">
        <v>0.001546000014059246</v>
      </c>
      <c r="D64" s="11" t="n">
        <v>0.006899999920278788</v>
      </c>
      <c r="E64" s="11" t="n">
        <v>0.005268000066280365</v>
      </c>
      <c r="F64" s="11" t="n">
        <v>0.004017999861389399</v>
      </c>
      <c r="G64" s="11" t="n">
        <v>-0.003378000110387802</v>
      </c>
      <c r="H64" s="11" t="n">
        <v>0.0001979999942705035</v>
      </c>
      <c r="I64" s="11" t="n">
        <v>-0.0004140000091865659</v>
      </c>
      <c r="J64" s="11" t="n">
        <v>-9.600000339560211e-05</v>
      </c>
      <c r="K64" s="11" t="n">
        <v>-7.999999797903001e-05</v>
      </c>
      <c r="L64" s="11" t="n">
        <v>0.003724999958649278</v>
      </c>
      <c r="M64" s="11" t="n">
        <v>0.002191999927163124</v>
      </c>
      <c r="N64" s="9">
        <f>AVERAGE(B64,C64,E64)</f>
        <v/>
      </c>
    </row>
    <row r="65">
      <c r="A65" s="5" t="n">
        <v>61</v>
      </c>
      <c r="B65" s="11" t="n">
        <v>0.005739000160247087</v>
      </c>
      <c r="C65" s="11" t="n">
        <v>0.008502000011503696</v>
      </c>
      <c r="D65" s="11" t="n">
        <v>0.007096000015735626</v>
      </c>
      <c r="E65" s="11" t="n">
        <v>0.008351000025868416</v>
      </c>
      <c r="F65" s="11" t="n">
        <v>0.004162999801337719</v>
      </c>
      <c r="G65" s="11" t="n">
        <v>0.002252999925985932</v>
      </c>
      <c r="H65" s="11" t="n">
        <v>0.0009449999779462814</v>
      </c>
      <c r="I65" s="11" t="n">
        <v>0.001164000015705824</v>
      </c>
      <c r="J65" s="11" t="n">
        <v>0.006310999859124422</v>
      </c>
      <c r="K65" s="11" t="n">
        <v>-0.002655999967828393</v>
      </c>
      <c r="L65" s="11" t="n">
        <v>0.007631000131368637</v>
      </c>
      <c r="M65" s="11" t="n">
        <v>0.002674000104889274</v>
      </c>
      <c r="N65" s="9">
        <f>AVERAGE(B65,C65,E65)</f>
        <v/>
      </c>
    </row>
    <row r="66">
      <c r="A66" s="5" t="n">
        <v>62</v>
      </c>
      <c r="B66" s="11" t="n">
        <v>0.005504000000655651</v>
      </c>
      <c r="C66" s="11" t="n">
        <v>0.0009059999720193446</v>
      </c>
      <c r="D66" s="11" t="n">
        <v>0.006922999862581491</v>
      </c>
      <c r="E66" s="11" t="n">
        <v>0.00687899999320507</v>
      </c>
      <c r="F66" s="11" t="n">
        <v>0.001933000050485134</v>
      </c>
      <c r="G66" s="11" t="n">
        <v>0.01221400033682585</v>
      </c>
      <c r="H66" s="11" t="n">
        <v>0.0004459999909158796</v>
      </c>
      <c r="I66" s="11" t="n">
        <v>0.0005169999785721302</v>
      </c>
      <c r="J66" s="11" t="n">
        <v>0.01200100034475327</v>
      </c>
      <c r="K66" s="11" t="n">
        <v>0.0009759999811649323</v>
      </c>
      <c r="L66" s="11" t="n">
        <v>-0.001570999971590936</v>
      </c>
      <c r="M66" s="11" t="n">
        <v>0.001389999990351498</v>
      </c>
      <c r="N66" s="9">
        <f>AVERAGE(B66,C66,E66)</f>
        <v/>
      </c>
    </row>
    <row r="67">
      <c r="A67" s="5" t="n">
        <v>63</v>
      </c>
      <c r="B67" s="11" t="n">
        <v>-0.00214100000448525</v>
      </c>
      <c r="C67" s="11" t="n">
        <v>0.004472000058740377</v>
      </c>
      <c r="D67" s="11" t="n">
        <v>0.003489000024273992</v>
      </c>
      <c r="E67" s="11" t="n">
        <v>0.00303300004452467</v>
      </c>
      <c r="F67" s="11" t="n">
        <v>0.006521999835968018</v>
      </c>
      <c r="G67" s="11" t="n">
        <v>0.001059000031091273</v>
      </c>
      <c r="H67" s="11" t="n">
        <v>0.002070999937132001</v>
      </c>
      <c r="I67" s="11" t="n">
        <v>-0.001293999957852066</v>
      </c>
      <c r="J67" s="11" t="n">
        <v>0.003901999909430742</v>
      </c>
      <c r="K67" s="11" t="n">
        <v>0.001597000053152442</v>
      </c>
      <c r="L67" s="11" t="n">
        <v>-0.004999000113457441</v>
      </c>
      <c r="M67" s="11" t="n">
        <v>0.001836000010371208</v>
      </c>
      <c r="N67" s="9">
        <f>AVERAGE(B67,C67,E67)</f>
        <v/>
      </c>
    </row>
    <row r="68">
      <c r="A68" s="5" t="n">
        <v>64</v>
      </c>
      <c r="B68" s="11" t="n">
        <v>0.004945999942719936</v>
      </c>
      <c r="C68" s="11" t="n">
        <v>0.002240000059828162</v>
      </c>
      <c r="D68" s="11" t="n">
        <v>-0.00203699991106987</v>
      </c>
      <c r="E68" s="11" t="n">
        <v>0.00357199995778501</v>
      </c>
      <c r="F68" s="11" t="n">
        <v>0.004108999855816364</v>
      </c>
      <c r="G68" s="11" t="n">
        <v>0.0107420003041625</v>
      </c>
      <c r="H68" s="11" t="n">
        <v>0.00115699996240437</v>
      </c>
      <c r="I68" s="11" t="n">
        <v>0.002235000021755695</v>
      </c>
      <c r="J68" s="11" t="n">
        <v>0.0123709999024868</v>
      </c>
      <c r="K68" s="11" t="n">
        <v>-0.001151000033132732</v>
      </c>
      <c r="L68" s="11" t="n">
        <v>0.002827000105753541</v>
      </c>
      <c r="M68" s="11" t="n">
        <v>0.003095000050961971</v>
      </c>
      <c r="N68" s="9">
        <f>AVERAGE(B68,C68,E68)</f>
        <v/>
      </c>
    </row>
    <row r="69">
      <c r="A69" s="5" t="n">
        <v>65</v>
      </c>
      <c r="B69" s="11" t="n">
        <v>0.00586399994790554</v>
      </c>
      <c r="C69" s="11" t="n">
        <v>0.002899999963119626</v>
      </c>
      <c r="D69" s="11" t="n">
        <v>0.007325000129640102</v>
      </c>
      <c r="E69" s="11" t="n">
        <v>0.005745000205934048</v>
      </c>
      <c r="F69" s="11" t="n">
        <v>0.003829000052064657</v>
      </c>
      <c r="G69" s="11" t="n">
        <v>0.006486999802291393</v>
      </c>
      <c r="H69" s="11" t="n">
        <v>0.0006680000224150717</v>
      </c>
      <c r="I69" s="11" t="n">
        <v>0.001271000015549362</v>
      </c>
      <c r="J69" s="11" t="n">
        <v>0.002932999981567264</v>
      </c>
      <c r="K69" s="11" t="n">
        <v>0.006196000147610903</v>
      </c>
      <c r="L69" s="11" t="n">
        <v>0.005836999975144863</v>
      </c>
      <c r="M69" s="11" t="n">
        <v>0.0001530000008642673</v>
      </c>
      <c r="N69" s="9">
        <f>AVERAGE(B69,C69,E69)</f>
        <v/>
      </c>
    </row>
    <row r="70">
      <c r="A70" s="5" t="n">
        <v>66</v>
      </c>
      <c r="B70" s="11" t="n">
        <v>0.004972000140696764</v>
      </c>
      <c r="C70" s="11" t="n">
        <v>0.008325999602675438</v>
      </c>
      <c r="D70" s="11" t="n">
        <v>0.005113000050187111</v>
      </c>
      <c r="E70" s="11" t="n">
        <v>0.001043000025674701</v>
      </c>
      <c r="F70" s="11" t="n">
        <v>0.00330700003542006</v>
      </c>
      <c r="G70" s="11" t="n">
        <v>0.007050000131130219</v>
      </c>
      <c r="H70" s="11" t="n">
        <v>0.003627999918535352</v>
      </c>
      <c r="I70" s="11" t="n">
        <v>-0.002630000002682209</v>
      </c>
      <c r="J70" s="11" t="n">
        <v>0.007319000083953142</v>
      </c>
      <c r="K70" s="11" t="n">
        <v>0.0007379999733529985</v>
      </c>
      <c r="L70" s="11" t="n">
        <v>-0.001130999997258186</v>
      </c>
      <c r="M70" s="11" t="n">
        <v>0.004420000128448009</v>
      </c>
      <c r="N70" s="9">
        <f>AVERAGE(B70,C70,E70)</f>
        <v/>
      </c>
    </row>
    <row r="71">
      <c r="A71" s="5" t="n">
        <v>67</v>
      </c>
      <c r="B71" s="11" t="n">
        <v>0.006353999953716993</v>
      </c>
      <c r="C71" s="11" t="n">
        <v>-0.001392000005580485</v>
      </c>
      <c r="D71" s="11" t="n">
        <v>0.006364999804645777</v>
      </c>
      <c r="E71" s="11" t="n">
        <v>0.003797000041231513</v>
      </c>
      <c r="F71" s="11" t="n">
        <v>0.001431999960914254</v>
      </c>
      <c r="G71" s="11" t="n">
        <v>0.009359999559819698</v>
      </c>
      <c r="H71" s="11" t="n">
        <v>-0.0004910000134259462</v>
      </c>
      <c r="I71" s="11" t="n">
        <v>-0.002860999898985028</v>
      </c>
      <c r="J71" s="11" t="n">
        <v>0.003660999936982989</v>
      </c>
      <c r="K71" s="11" t="n">
        <v>-0.001154999947175384</v>
      </c>
      <c r="L71" s="11" t="n">
        <v>0.002195999957621098</v>
      </c>
      <c r="M71" s="11" t="n">
        <v>0.00190100003965199</v>
      </c>
      <c r="N71" s="9">
        <f>AVERAGE(B71,C71,E71)</f>
        <v/>
      </c>
    </row>
    <row r="72">
      <c r="A72" s="5" t="n">
        <v>68</v>
      </c>
      <c r="B72" s="11" t="n">
        <v>0.0030519999563694</v>
      </c>
      <c r="C72" s="11" t="n">
        <v>0.006167000159621239</v>
      </c>
      <c r="D72" s="11" t="n">
        <v>0.007337000221014023</v>
      </c>
      <c r="E72" s="11" t="n">
        <v>0.002412999980151653</v>
      </c>
      <c r="F72" s="11" t="n">
        <v>-0.0005680000176653266</v>
      </c>
      <c r="G72" s="11" t="n">
        <v>0.004122999962419271</v>
      </c>
      <c r="H72" s="11" t="n">
        <v>0.0002010000025620684</v>
      </c>
      <c r="I72" s="11" t="n">
        <v>0.003597999922931194</v>
      </c>
      <c r="J72" s="11" t="n">
        <v>0.006732999812811613</v>
      </c>
      <c r="K72" s="11" t="n">
        <v>-0.0006549999816343188</v>
      </c>
      <c r="L72" s="11" t="n">
        <v>0.004191000014543533</v>
      </c>
      <c r="M72" s="11" t="n">
        <v>0.00369199994020164</v>
      </c>
      <c r="N72" s="9">
        <f>AVERAGE(B72,C72,E72)</f>
        <v/>
      </c>
    </row>
    <row r="73">
      <c r="A73" s="5" t="n">
        <v>69</v>
      </c>
      <c r="B73" s="11" t="n">
        <v>0.00254700006917119</v>
      </c>
      <c r="C73" s="11" t="n">
        <v>0.001650999998673797</v>
      </c>
      <c r="D73" s="11" t="n">
        <v>0.005743000190705061</v>
      </c>
      <c r="E73" s="11" t="n">
        <v>0.00455900002270937</v>
      </c>
      <c r="F73" s="11" t="n">
        <v>0.002392000053077936</v>
      </c>
      <c r="G73" s="11" t="n">
        <v>0.004162000026553869</v>
      </c>
      <c r="H73" s="11" t="n">
        <v>0.004428000189363956</v>
      </c>
      <c r="I73" s="11" t="n">
        <v>-0.001197000034153461</v>
      </c>
      <c r="J73" s="11" t="n">
        <v>0.007643000222742558</v>
      </c>
      <c r="K73" s="11" t="n">
        <v>0.001104000024497509</v>
      </c>
      <c r="L73" s="11" t="n">
        <v>0.009885000064969063</v>
      </c>
      <c r="M73" s="11" t="n">
        <v>0.001147000002674758</v>
      </c>
      <c r="N73" s="9">
        <f>AVERAGE(B73,C73,E73)</f>
        <v/>
      </c>
    </row>
    <row r="74">
      <c r="A74" s="5" t="n">
        <v>70</v>
      </c>
      <c r="B74" s="11" t="n">
        <v>0.001206999993883073</v>
      </c>
      <c r="C74" s="11" t="n">
        <v>0.004561000037938356</v>
      </c>
      <c r="D74" s="11" t="n">
        <v>0.004519999958574772</v>
      </c>
      <c r="E74" s="11" t="n">
        <v>0.006881000008434057</v>
      </c>
      <c r="F74" s="11" t="n">
        <v>0.00252899993211031</v>
      </c>
      <c r="G74" s="11" t="n">
        <v>0.01174500025808811</v>
      </c>
      <c r="H74" s="11" t="n">
        <v>0.003857000032439828</v>
      </c>
      <c r="I74" s="11" t="n">
        <v>0.005173999816179276</v>
      </c>
      <c r="J74" s="11" t="n">
        <v>0.01221700012683868</v>
      </c>
      <c r="K74" s="11" t="n">
        <v>0.004048999864608049</v>
      </c>
      <c r="L74" s="11" t="n">
        <v>0.006852999795228243</v>
      </c>
      <c r="M74" s="11" t="n">
        <v>0.003197999903932214</v>
      </c>
      <c r="N74" s="9">
        <f>AVERAGE(B74,C74,E74)</f>
        <v/>
      </c>
    </row>
    <row r="75">
      <c r="A75" s="5" t="n">
        <v>71</v>
      </c>
      <c r="B75" s="11" t="n">
        <v>-0.0002300000051036477</v>
      </c>
      <c r="C75" s="11" t="n">
        <v>0.004982999991625547</v>
      </c>
      <c r="D75" s="11" t="n">
        <v>0.006821000017225742</v>
      </c>
      <c r="E75" s="11" t="n">
        <v>0.005392999853938818</v>
      </c>
      <c r="F75" s="11" t="n">
        <v>0.001674000057391822</v>
      </c>
      <c r="G75" s="11" t="n">
        <v>0.008403999730944633</v>
      </c>
      <c r="H75" s="11" t="n">
        <v>0.003143999958410859</v>
      </c>
      <c r="I75" s="11" t="n">
        <v>-0.002803999930620193</v>
      </c>
      <c r="J75" s="11" t="n">
        <v>0.00942699983716011</v>
      </c>
      <c r="K75" s="11" t="n">
        <v>0.0005150000215508044</v>
      </c>
      <c r="L75" s="11" t="n">
        <v>0.004883000161498785</v>
      </c>
      <c r="M75" s="11" t="n">
        <v>0.003644000040367246</v>
      </c>
      <c r="N75" s="9">
        <f>AVERAGE(B75,C75,E75)</f>
        <v/>
      </c>
    </row>
    <row r="76">
      <c r="A76" s="5" t="n">
        <v>72</v>
      </c>
      <c r="B76" s="11" t="n">
        <v>0.007759000174701214</v>
      </c>
      <c r="C76" s="11" t="n">
        <v>-0.002271000063046813</v>
      </c>
      <c r="D76" s="11" t="n">
        <v>0.003341000061482191</v>
      </c>
      <c r="E76" s="11" t="n">
        <v>0.005692000035196543</v>
      </c>
      <c r="F76" s="11" t="n">
        <v>0.003878999967128038</v>
      </c>
      <c r="G76" s="11" t="n">
        <v>0.003548000007867813</v>
      </c>
      <c r="H76" s="11" t="n">
        <v>0.001789000001735985</v>
      </c>
      <c r="I76" s="11" t="n">
        <v>-0.0002920000115409493</v>
      </c>
      <c r="J76" s="11" t="n">
        <v>0.003612000029534101</v>
      </c>
      <c r="K76" s="11" t="n">
        <v>0.004420000128448009</v>
      </c>
      <c r="L76" s="11" t="n">
        <v>3.700000161188655e-05</v>
      </c>
      <c r="M76" s="11" t="n">
        <v>-0.0006830000202171504</v>
      </c>
      <c r="N76" s="9">
        <f>AVERAGE(B76,C76,E76)</f>
        <v/>
      </c>
    </row>
    <row r="77">
      <c r="A77" s="5" t="n">
        <v>73</v>
      </c>
      <c r="B77" s="11" t="n">
        <v>0.001210000016726553</v>
      </c>
      <c r="C77" s="11" t="n">
        <v>0.008767000399529934</v>
      </c>
      <c r="D77" s="11" t="n">
        <v>-0.0001110000011976808</v>
      </c>
      <c r="E77" s="11" t="n">
        <v>0.002184000099077821</v>
      </c>
      <c r="F77" s="11" t="n">
        <v>0.002466999925673008</v>
      </c>
      <c r="G77" s="11" t="n">
        <v>0.008793000131845474</v>
      </c>
      <c r="H77" s="11" t="n">
        <v>-0.0009449999779462814</v>
      </c>
      <c r="I77" s="11" t="n">
        <v>0.0004189999890513718</v>
      </c>
      <c r="J77" s="11" t="n">
        <v>-0.001152000040747225</v>
      </c>
      <c r="K77" s="11" t="n">
        <v>-0.002477000001817942</v>
      </c>
      <c r="L77" s="11" t="n">
        <v>0.01194300036877394</v>
      </c>
      <c r="M77" s="11" t="n">
        <v>-0.0009720000089146197</v>
      </c>
      <c r="N77" s="9">
        <f>AVERAGE(B77,C77,E77)</f>
        <v/>
      </c>
    </row>
    <row r="78">
      <c r="A78" s="5" t="n">
        <v>74</v>
      </c>
      <c r="B78" s="11" t="n">
        <v>0.006583999842405319</v>
      </c>
      <c r="C78" s="11" t="n">
        <v>0.005055000074207783</v>
      </c>
      <c r="D78" s="11" t="n">
        <v>0.002127999905496836</v>
      </c>
      <c r="E78" s="11" t="n">
        <v>0.004290999844670296</v>
      </c>
      <c r="F78" s="11" t="n">
        <v>0.005204000044614077</v>
      </c>
      <c r="G78" s="11" t="n">
        <v>0.00251900008879602</v>
      </c>
      <c r="H78" s="11" t="n">
        <v>0.001524999970570207</v>
      </c>
      <c r="I78" s="11" t="n">
        <v>0.002093000104650855</v>
      </c>
      <c r="J78" s="11" t="n">
        <v>-0.002466999925673008</v>
      </c>
      <c r="K78" s="11" t="n">
        <v>0.001794000039808452</v>
      </c>
      <c r="L78" s="11" t="n">
        <v>0.01220500003546476</v>
      </c>
      <c r="M78" s="11" t="n">
        <v>0.0006300000241026282</v>
      </c>
      <c r="N78" s="9">
        <f>AVERAGE(B78,C78,E78)</f>
        <v/>
      </c>
    </row>
    <row r="79">
      <c r="A79" s="5" t="n">
        <v>75</v>
      </c>
      <c r="B79" s="11" t="n">
        <v>-0.0004759999865200371</v>
      </c>
      <c r="C79" s="11" t="n">
        <v>-0.002461999887600541</v>
      </c>
      <c r="D79" s="11" t="n">
        <v>0.00184299994725734</v>
      </c>
      <c r="E79" s="11" t="n">
        <v>-0.0006140000186860561</v>
      </c>
      <c r="F79" s="11" t="n">
        <v>-0.0002160000003641471</v>
      </c>
      <c r="G79" s="11" t="n">
        <v>0.0009130000253207982</v>
      </c>
      <c r="H79" s="11" t="n">
        <v>0.001098999986425042</v>
      </c>
      <c r="I79" s="11" t="n">
        <v>0.001450999989174306</v>
      </c>
      <c r="J79" s="11" t="n">
        <v>0.008351000025868416</v>
      </c>
      <c r="K79" s="11" t="n">
        <v>0.003529000096023083</v>
      </c>
      <c r="L79" s="11" t="n">
        <v>0.001438000006601214</v>
      </c>
      <c r="M79" s="11" t="n">
        <v>0.004433999769389629</v>
      </c>
      <c r="N79" s="9">
        <f>AVERAGE(B79,C79,E79)</f>
        <v/>
      </c>
    </row>
    <row r="80">
      <c r="A80" s="5" t="n">
        <v>76</v>
      </c>
      <c r="B80" s="11" t="n">
        <v>0.00573799991980195</v>
      </c>
      <c r="C80" s="11" t="n">
        <v>0.004002000205218792</v>
      </c>
      <c r="D80" s="11" t="n">
        <v>0.0002169999934267253</v>
      </c>
      <c r="E80" s="11" t="n">
        <v>0.00291000003926456</v>
      </c>
      <c r="F80" s="11" t="n">
        <v>0.002529999939724803</v>
      </c>
      <c r="G80" s="11" t="n">
        <v>0.008082999847829342</v>
      </c>
      <c r="H80" s="11" t="n">
        <v>0.0001500000071246177</v>
      </c>
      <c r="I80" s="11" t="n">
        <v>0.00304599991068244</v>
      </c>
      <c r="J80" s="11" t="n">
        <v>0.0006430000066757202</v>
      </c>
      <c r="K80" s="11" t="n">
        <v>0.001302000018768013</v>
      </c>
      <c r="L80" s="11" t="n">
        <v>0.001808000029996037</v>
      </c>
      <c r="M80" s="11" t="n">
        <v>0.00277799996547401</v>
      </c>
      <c r="N80" s="9">
        <f>AVERAGE(B80,C80,E80)</f>
        <v/>
      </c>
    </row>
    <row r="81">
      <c r="A81" s="5" t="n">
        <v>77</v>
      </c>
      <c r="B81" s="11" t="n">
        <v>0.0007319999858736992</v>
      </c>
      <c r="C81" s="11" t="n">
        <v>0.0005680000176653266</v>
      </c>
      <c r="D81" s="11" t="n">
        <v>-0.0005130000063218176</v>
      </c>
      <c r="E81" s="11" t="n">
        <v>-0.002809999976307154</v>
      </c>
      <c r="F81" s="11" t="n">
        <v>-0.003090000012889504</v>
      </c>
      <c r="G81" s="11" t="n">
        <v>0.003695999970659614</v>
      </c>
      <c r="H81" s="11" t="n">
        <v>0.0006689999718219042</v>
      </c>
      <c r="I81" s="11" t="n">
        <v>0.004637000150978565</v>
      </c>
      <c r="J81" s="11" t="n">
        <v>0.002063999883830547</v>
      </c>
      <c r="K81" s="11" t="n">
        <v>-0.0001279999996768311</v>
      </c>
      <c r="L81" s="11" t="n">
        <v>0.006221000105142593</v>
      </c>
      <c r="M81" s="11" t="n">
        <v>0.000307999987853691</v>
      </c>
      <c r="N81" s="9">
        <f>AVERAGE(B81,C81,E81)</f>
        <v/>
      </c>
    </row>
    <row r="82">
      <c r="A82" s="5" t="n">
        <v>78</v>
      </c>
      <c r="B82" s="11" t="n">
        <v>0.002307000104337931</v>
      </c>
      <c r="C82" s="11" t="n">
        <v>-0.001644999952986836</v>
      </c>
      <c r="D82" s="11" t="n">
        <v>0.0004879999905824661</v>
      </c>
      <c r="E82" s="11" t="n">
        <v>0.0003800000122282654</v>
      </c>
      <c r="F82" s="11" t="n">
        <v>-0.0001329999940935522</v>
      </c>
      <c r="G82" s="11" t="n">
        <v>0.01441199984401464</v>
      </c>
      <c r="H82" s="11" t="n">
        <v>0.0008590000215917826</v>
      </c>
      <c r="I82" s="11" t="n">
        <v>7.100000220816582e-05</v>
      </c>
      <c r="J82" s="11" t="n">
        <v>0.0007050000131130219</v>
      </c>
      <c r="K82" s="11" t="n">
        <v>0.002300000051036477</v>
      </c>
      <c r="L82" s="11" t="n">
        <v>0.003296999959275126</v>
      </c>
      <c r="M82" s="11" t="n">
        <v>0.002847000025212765</v>
      </c>
      <c r="N82" s="9">
        <f>AVERAGE(B82,C82,E82)</f>
        <v/>
      </c>
    </row>
    <row r="83">
      <c r="A83" s="5" t="n">
        <v>79</v>
      </c>
      <c r="B83" s="11" t="n">
        <v>0.003443999914452434</v>
      </c>
      <c r="C83" s="11" t="n">
        <v>0.0008229999803006649</v>
      </c>
      <c r="D83" s="11" t="n">
        <v>-0.003352999920025468</v>
      </c>
      <c r="E83" s="11" t="n">
        <v>-0.001812999951653183</v>
      </c>
      <c r="F83" s="11" t="n">
        <v>0.002623999956995249</v>
      </c>
      <c r="G83" s="11" t="n">
        <v>0.002860999898985028</v>
      </c>
      <c r="H83" s="11" t="n">
        <v>0.001101000001654029</v>
      </c>
      <c r="I83" s="11" t="n">
        <v>0.001472000032663345</v>
      </c>
      <c r="J83" s="11" t="n">
        <v>0.008094999939203262</v>
      </c>
      <c r="K83" s="11" t="n">
        <v>0.0004879999905824661</v>
      </c>
      <c r="L83" s="11" t="n">
        <v>0.006147999782115221</v>
      </c>
      <c r="M83" s="11" t="n">
        <v>-0.001665999996475875</v>
      </c>
      <c r="N83" s="9">
        <f>AVERAGE(B83,C83,E83)</f>
        <v/>
      </c>
    </row>
    <row r="84">
      <c r="A84" s="5" t="n">
        <v>80</v>
      </c>
      <c r="B84" s="11" t="n">
        <v>0.007734999991953373</v>
      </c>
      <c r="C84" s="11" t="n">
        <v>0.008364000357687473</v>
      </c>
      <c r="D84" s="11" t="n">
        <v>0.006909999996423721</v>
      </c>
      <c r="E84" s="11" t="n">
        <v>0.005222000181674957</v>
      </c>
      <c r="F84" s="11" t="n">
        <v>-2.499999936844688e-05</v>
      </c>
      <c r="G84" s="11" t="n">
        <v>0.009916000068187714</v>
      </c>
      <c r="H84" s="11" t="n">
        <v>0.0006939999875612557</v>
      </c>
      <c r="I84" s="11" t="n">
        <v>0.0003399999986868352</v>
      </c>
      <c r="J84" s="11" t="n">
        <v>0.01305999979376793</v>
      </c>
      <c r="K84" s="11" t="n">
        <v>0.00128600001335144</v>
      </c>
      <c r="L84" s="11" t="n">
        <v>0.007309999782592058</v>
      </c>
      <c r="M84" s="11" t="n">
        <v>0.0009840000420808792</v>
      </c>
      <c r="N84" s="9">
        <f>AVERAGE(B84,C84,E84)</f>
        <v/>
      </c>
    </row>
    <row r="85">
      <c r="A85" s="5" t="n">
        <v>81</v>
      </c>
      <c r="B85" s="11" t="n">
        <v>0.001984999980777502</v>
      </c>
      <c r="C85" s="11" t="n">
        <v>-0.002827000105753541</v>
      </c>
      <c r="D85" s="11" t="n">
        <v>0.002344999928027391</v>
      </c>
      <c r="E85" s="11" t="n">
        <v>-0.002058000070974231</v>
      </c>
      <c r="F85" s="11" t="n">
        <v>0.009157000109553337</v>
      </c>
      <c r="G85" s="11" t="n">
        <v>0.01028999965637922</v>
      </c>
      <c r="H85" s="11" t="n">
        <v>-0.001200999948196113</v>
      </c>
      <c r="I85" s="11" t="n">
        <v>-0.003049999941140413</v>
      </c>
      <c r="J85" s="11" t="n">
        <v>0.003073000116273761</v>
      </c>
      <c r="K85" s="11" t="n">
        <v>0.0008459999808110297</v>
      </c>
      <c r="L85" s="11" t="n">
        <v>0.005472999997437</v>
      </c>
      <c r="M85" s="11" t="n">
        <v>0.0008609999786131084</v>
      </c>
      <c r="N85" s="9">
        <f>AVERAGE(B85,C85,E85)</f>
        <v/>
      </c>
    </row>
    <row r="86">
      <c r="A86" s="5" t="n">
        <v>82</v>
      </c>
      <c r="B86" s="11" t="n">
        <v>0.003909999970346689</v>
      </c>
      <c r="C86" s="11" t="n">
        <v>0.0003940000024158508</v>
      </c>
      <c r="D86" s="11" t="n">
        <v>-0.001972000114619732</v>
      </c>
      <c r="E86" s="11" t="n">
        <v>0.002797000110149384</v>
      </c>
      <c r="F86" s="11" t="n">
        <v>0.001139000058174133</v>
      </c>
      <c r="G86" s="11" t="n">
        <v>-8.299999899463728e-05</v>
      </c>
      <c r="H86" s="11" t="n">
        <v>-0.0001769999944372103</v>
      </c>
      <c r="I86" s="11" t="n">
        <v>0.001041000010445714</v>
      </c>
      <c r="J86" s="11" t="n">
        <v>0.005413999781012535</v>
      </c>
      <c r="K86" s="11" t="n">
        <v>-0.002563999965786934</v>
      </c>
      <c r="L86" s="11" t="n">
        <v>-0.0004210000042803586</v>
      </c>
      <c r="M86" s="11" t="n">
        <v>-0.000754999986384064</v>
      </c>
      <c r="N86" s="9">
        <f>AVERAGE(B86,C86,E86)</f>
        <v/>
      </c>
    </row>
    <row r="87">
      <c r="A87" s="5" t="n">
        <v>83</v>
      </c>
      <c r="B87" s="11" t="n">
        <v>-0.001963000046089292</v>
      </c>
      <c r="C87" s="11" t="n">
        <v>-0.001347000012174249</v>
      </c>
      <c r="D87" s="11" t="n">
        <v>0.002001000102609396</v>
      </c>
      <c r="E87" s="11" t="n">
        <v>-0.0001429999974789098</v>
      </c>
      <c r="F87" s="11" t="n">
        <v>0.00367000000551343</v>
      </c>
      <c r="G87" s="11" t="n">
        <v>0.003305000020191073</v>
      </c>
      <c r="H87" s="11" t="n">
        <v>0.00240899994969368</v>
      </c>
      <c r="I87" s="11" t="n">
        <v>0.003368000034242868</v>
      </c>
      <c r="J87" s="11" t="n">
        <v>-0.0008520000264979899</v>
      </c>
      <c r="K87" s="11" t="n">
        <v>0.002639000071212649</v>
      </c>
      <c r="L87" s="11" t="n">
        <v>0.00446499977260828</v>
      </c>
      <c r="M87" s="11" t="n">
        <v>-0.00354399997740984</v>
      </c>
      <c r="N87" s="9">
        <f>AVERAGE(B87,C87,E87)</f>
        <v/>
      </c>
    </row>
    <row r="88">
      <c r="A88" s="5" t="n">
        <v>84</v>
      </c>
      <c r="B88" s="11" t="n">
        <v>0.001594000030308962</v>
      </c>
      <c r="C88" s="11" t="n">
        <v>0.00185200001578778</v>
      </c>
      <c r="D88" s="11" t="n">
        <v>0.0009759999811649323</v>
      </c>
      <c r="E88" s="11" t="n">
        <v>0.001260000048205256</v>
      </c>
      <c r="F88" s="11" t="n">
        <v>0.003907000180333853</v>
      </c>
      <c r="G88" s="11" t="n">
        <v>0.004038999788463116</v>
      </c>
      <c r="H88" s="11" t="n">
        <v>-0.001121000037528574</v>
      </c>
      <c r="I88" s="11" t="n">
        <v>0.001362000009976327</v>
      </c>
      <c r="J88" s="11" t="n">
        <v>0.005206999834626913</v>
      </c>
      <c r="K88" s="11" t="n">
        <v>0.0002889999886974692</v>
      </c>
      <c r="L88" s="11" t="n">
        <v>-0.008648999966681004</v>
      </c>
      <c r="M88" s="11" t="n">
        <v>0.003218000056222081</v>
      </c>
      <c r="N88" s="9">
        <f>AVERAGE(B88,C88,E88)</f>
        <v/>
      </c>
    </row>
    <row r="89">
      <c r="A89" s="5" t="n">
        <v>85</v>
      </c>
      <c r="B89" s="11" t="n">
        <v>0.002234000014141202</v>
      </c>
      <c r="C89" s="11" t="n">
        <v>0.005458000116050243</v>
      </c>
      <c r="D89" s="11" t="n">
        <v>0.004916999954730272</v>
      </c>
      <c r="E89" s="11" t="n">
        <v>0.00380899989977479</v>
      </c>
      <c r="F89" s="11" t="n">
        <v>0.004834999796003103</v>
      </c>
      <c r="G89" s="11" t="n">
        <v>0.01424599997699261</v>
      </c>
      <c r="H89" s="11" t="n">
        <v>0.005291000008583069</v>
      </c>
      <c r="I89" s="11" t="n">
        <v>0.004232000093907118</v>
      </c>
      <c r="J89" s="11" t="n">
        <v>0.003555000061169267</v>
      </c>
      <c r="K89" s="11" t="n">
        <v>0.002386000007390976</v>
      </c>
      <c r="L89" s="11" t="n">
        <v>0.002719999989494681</v>
      </c>
      <c r="M89" s="11" t="n">
        <v>0.001388999982737005</v>
      </c>
      <c r="N89" s="9">
        <f>AVERAGE(B89,C89,E89)</f>
        <v/>
      </c>
    </row>
    <row r="90">
      <c r="A90" s="5" t="n">
        <v>86</v>
      </c>
      <c r="B90" s="11" t="n">
        <v>-0.001507999957539141</v>
      </c>
      <c r="C90" s="11" t="n">
        <v>0.0003980000037699938</v>
      </c>
      <c r="D90" s="11" t="n">
        <v>0.003479999955743551</v>
      </c>
      <c r="E90" s="11" t="n">
        <v>0.005096999928355217</v>
      </c>
      <c r="F90" s="11" t="n">
        <v>0.001537999953143299</v>
      </c>
      <c r="G90" s="11" t="n">
        <v>0.009065000340342522</v>
      </c>
      <c r="H90" s="11" t="n">
        <v>0.001398000051267445</v>
      </c>
      <c r="I90" s="11" t="n">
        <v>0.001287000020965934</v>
      </c>
      <c r="J90" s="11" t="n">
        <v>-2.599999970698263e-05</v>
      </c>
      <c r="K90" s="11" t="n">
        <v>-0.0005920000257901847</v>
      </c>
      <c r="L90" s="11" t="n">
        <v>0.01087599992752075</v>
      </c>
      <c r="M90" s="11" t="n">
        <v>0.0002099999983329326</v>
      </c>
      <c r="N90" s="9">
        <f>AVERAGE(B90,C90,E90)</f>
        <v/>
      </c>
    </row>
    <row r="91">
      <c r="A91" s="5" t="n">
        <v>87</v>
      </c>
      <c r="B91" s="11" t="n">
        <v>0.004647000227123499</v>
      </c>
      <c r="C91" s="11" t="n">
        <v>0.004267000127583742</v>
      </c>
      <c r="D91" s="11" t="n">
        <v>0.0033160001039505</v>
      </c>
      <c r="E91" s="11" t="n">
        <v>0.004999000113457441</v>
      </c>
      <c r="F91" s="11" t="n">
        <v>0.002969000022858381</v>
      </c>
      <c r="G91" s="11" t="n">
        <v>0.003998000174760818</v>
      </c>
      <c r="H91" s="11" t="n">
        <v>0.00356299988925457</v>
      </c>
      <c r="I91" s="11" t="n">
        <v>-0.0002779999922495335</v>
      </c>
      <c r="J91" s="11" t="n">
        <v>0.01119500026106834</v>
      </c>
      <c r="K91" s="11" t="n">
        <v>0.003792000003159046</v>
      </c>
      <c r="L91" s="11" t="n">
        <v>0.005319999996572733</v>
      </c>
      <c r="M91" s="11" t="n">
        <v>0.00128299999050796</v>
      </c>
      <c r="N91" s="9">
        <f>AVERAGE(B91,C91,E91)</f>
        <v/>
      </c>
    </row>
    <row r="92">
      <c r="A92" s="5" t="n">
        <v>88</v>
      </c>
      <c r="B92" s="11" t="n">
        <v>0.003847999963909388</v>
      </c>
      <c r="C92" s="11" t="n">
        <v>-0.006926999893039465</v>
      </c>
      <c r="D92" s="11" t="n">
        <v>0.002691000001505017</v>
      </c>
      <c r="E92" s="11" t="n">
        <v>0.004100000020116568</v>
      </c>
      <c r="F92" s="11" t="n">
        <v>0.003043999895453453</v>
      </c>
      <c r="G92" s="11" t="n">
        <v>0.004805999808013439</v>
      </c>
      <c r="H92" s="11" t="n">
        <v>0.002070999937132001</v>
      </c>
      <c r="I92" s="11" t="n">
        <v>6.70000008540228e-05</v>
      </c>
      <c r="J92" s="11" t="n">
        <v>0.007139999885112047</v>
      </c>
      <c r="K92" s="11" t="n">
        <v>0.001016000052914023</v>
      </c>
      <c r="L92" s="11" t="n">
        <v>0.001041000010445714</v>
      </c>
      <c r="M92" s="11" t="n">
        <v>-0.0004820000031031668</v>
      </c>
      <c r="N92" s="9">
        <f>AVERAGE(B92,C92,E92)</f>
        <v/>
      </c>
    </row>
    <row r="93">
      <c r="A93" s="5" t="n">
        <v>89</v>
      </c>
      <c r="B93" s="11" t="n">
        <v>0.0009640000062063336</v>
      </c>
      <c r="C93" s="11" t="n">
        <v>0.001107000047340989</v>
      </c>
      <c r="D93" s="11" t="n">
        <v>0.003460000036284328</v>
      </c>
      <c r="E93" s="11" t="n">
        <v>0.004333000164479017</v>
      </c>
      <c r="F93" s="11" t="n">
        <v>0.002110000001266599</v>
      </c>
      <c r="G93" s="11" t="n">
        <v>0.006723999977111816</v>
      </c>
      <c r="H93" s="11" t="n">
        <v>0.003197999903932214</v>
      </c>
      <c r="I93" s="11" t="n">
        <v>-0.0008970000199042261</v>
      </c>
      <c r="J93" s="11" t="n">
        <v>-0.0004729999927803874</v>
      </c>
      <c r="K93" s="11" t="n">
        <v>-0.002117000054568052</v>
      </c>
      <c r="L93" s="11" t="n">
        <v>0.008132000453770161</v>
      </c>
      <c r="M93" s="11" t="n">
        <v>0.001840000040829182</v>
      </c>
      <c r="N93" s="9">
        <f>AVERAGE(B93,C93,E93)</f>
        <v/>
      </c>
    </row>
    <row r="94">
      <c r="A94" s="5" t="n">
        <v>90</v>
      </c>
      <c r="B94" s="11" t="n">
        <v>0.001949999947100878</v>
      </c>
      <c r="C94" s="11" t="n">
        <v>0.004676999989897013</v>
      </c>
      <c r="D94" s="11" t="n">
        <v>0.004922000225633383</v>
      </c>
      <c r="E94" s="11" t="n">
        <v>0.007414999883621931</v>
      </c>
      <c r="F94" s="11" t="n">
        <v>0.001435999991372228</v>
      </c>
      <c r="G94" s="11" t="n">
        <v>0.003897000104188919</v>
      </c>
      <c r="H94" s="11" t="n">
        <v>0.002061000093817711</v>
      </c>
      <c r="I94" s="11" t="n">
        <v>-0.0008219999726861715</v>
      </c>
      <c r="J94" s="11" t="n">
        <v>0.007521000225096941</v>
      </c>
      <c r="K94" s="11" t="n">
        <v>0.002084000036120415</v>
      </c>
      <c r="L94" s="11" t="n">
        <v>0.006215000059455633</v>
      </c>
      <c r="M94" s="11" t="n">
        <v>0.0002469999890308827</v>
      </c>
      <c r="N94" s="9">
        <f>AVERAGE(B94,C94,E94)</f>
        <v/>
      </c>
    </row>
    <row r="95">
      <c r="A95" s="5" t="n">
        <v>91</v>
      </c>
      <c r="B95" s="11" t="n">
        <v>-0.001903000054880977</v>
      </c>
      <c r="C95" s="11" t="n">
        <v>0.001765000051818788</v>
      </c>
      <c r="D95" s="11" t="n">
        <v>0.003360999980941415</v>
      </c>
      <c r="E95" s="11" t="n">
        <v>0.003167999908328056</v>
      </c>
      <c r="F95" s="11" t="n">
        <v>-0.002173000015318394</v>
      </c>
      <c r="G95" s="11" t="n">
        <v>0.005960000213235617</v>
      </c>
      <c r="H95" s="11" t="n">
        <v>0.002786000026389956</v>
      </c>
      <c r="I95" s="11" t="n">
        <v>0.002600000007078052</v>
      </c>
      <c r="J95" s="11" t="n">
        <v>-0.001889999955892563</v>
      </c>
      <c r="K95" s="11" t="n">
        <v>-0.00060299999313429</v>
      </c>
      <c r="L95" s="11" t="n">
        <v>0.003093000035732985</v>
      </c>
      <c r="M95" s="11" t="n">
        <v>-0.001041000010445714</v>
      </c>
      <c r="N95" s="9">
        <f>AVERAGE(B95,C95,E95)</f>
        <v/>
      </c>
    </row>
    <row r="96">
      <c r="A96" s="5" t="n">
        <v>92</v>
      </c>
      <c r="B96" s="11" t="n">
        <v>0.003628999926149845</v>
      </c>
      <c r="C96" s="11" t="n">
        <v>0.00547399977222085</v>
      </c>
      <c r="D96" s="11" t="n">
        <v>-0.001533000031486154</v>
      </c>
      <c r="E96" s="11" t="n">
        <v>-0.0017010000301525</v>
      </c>
      <c r="F96" s="11" t="n">
        <v>-0.001214000047184527</v>
      </c>
      <c r="G96" s="11" t="n">
        <v>0.01409099996089935</v>
      </c>
      <c r="H96" s="11" t="n">
        <v>0.00546699995175004</v>
      </c>
      <c r="I96" s="11" t="n">
        <v>0.002794000087305903</v>
      </c>
      <c r="J96" s="11" t="n">
        <v>0.002562999958172441</v>
      </c>
      <c r="K96" s="11" t="n">
        <v>0.004021000117063522</v>
      </c>
      <c r="L96" s="11" t="n">
        <v>0.001191999996080995</v>
      </c>
      <c r="M96" s="11" t="n">
        <v>0.001876999973319471</v>
      </c>
      <c r="N96" s="9">
        <f>AVERAGE(B96,C96,E96)</f>
        <v/>
      </c>
    </row>
    <row r="97">
      <c r="A97" s="5" t="n">
        <v>93</v>
      </c>
      <c r="B97" s="11" t="n">
        <v>0.003587000072002411</v>
      </c>
      <c r="C97" s="11" t="n">
        <v>0.00115999998524785</v>
      </c>
      <c r="D97" s="11" t="n">
        <v>0.001587999984622002</v>
      </c>
      <c r="E97" s="11" t="n">
        <v>0.003193000098690391</v>
      </c>
      <c r="F97" s="11" t="n">
        <v>0.001930000027641654</v>
      </c>
      <c r="G97" s="11" t="n">
        <v>0.008329999633133411</v>
      </c>
      <c r="H97" s="11" t="n">
        <v>0.003735000034794211</v>
      </c>
      <c r="I97" s="11" t="n">
        <v>-0.002619999926537275</v>
      </c>
      <c r="J97" s="11" t="n">
        <v>0.007215000223368406</v>
      </c>
      <c r="K97" s="11" t="n">
        <v>-0.0001429999974789098</v>
      </c>
      <c r="L97" s="11" t="n">
        <v>0.0007440000190399587</v>
      </c>
      <c r="M97" s="11" t="n">
        <v>0.002731000073254108</v>
      </c>
      <c r="N97" s="9">
        <f>AVERAGE(B97,C97,E97)</f>
        <v/>
      </c>
    </row>
    <row r="98">
      <c r="A98" s="5" t="n">
        <v>94</v>
      </c>
      <c r="B98" s="11" t="n">
        <v>0.007637999951839447</v>
      </c>
      <c r="C98" s="11" t="n">
        <v>0.008816000074148178</v>
      </c>
      <c r="D98" s="11" t="n">
        <v>0.005293000023812056</v>
      </c>
      <c r="E98" s="11" t="n">
        <v>0.004745999816805124</v>
      </c>
      <c r="F98" s="11" t="n">
        <v>0.005551000125706196</v>
      </c>
      <c r="G98" s="11" t="n">
        <v>0.006490999832749367</v>
      </c>
      <c r="H98" s="11" t="n">
        <v>0.003971000202000141</v>
      </c>
      <c r="I98" s="11" t="n">
        <v>0.003195000113919377</v>
      </c>
      <c r="J98" s="11" t="n">
        <v>0.003314000088721514</v>
      </c>
      <c r="K98" s="11" t="n">
        <v>9.999999747378752e-05</v>
      </c>
      <c r="L98" s="11" t="n">
        <v>0.008318999782204628</v>
      </c>
      <c r="M98" s="11" t="n">
        <v>0.001124999951571226</v>
      </c>
      <c r="N98" s="9">
        <f>AVERAGE(B98,C98,E98)</f>
        <v/>
      </c>
    </row>
    <row r="99">
      <c r="A99" s="5" t="n">
        <v>95</v>
      </c>
      <c r="B99" s="11" t="n">
        <v>0.001063999952748418</v>
      </c>
      <c r="C99" s="11" t="n">
        <v>0.0003399999986868352</v>
      </c>
      <c r="D99" s="11" t="n">
        <v>-0.0002549999917391688</v>
      </c>
      <c r="E99" s="11" t="n">
        <v>-0.00113500002771616</v>
      </c>
      <c r="F99" s="11" t="n">
        <v>0.002510000020265579</v>
      </c>
      <c r="G99" s="11" t="n">
        <v>0.001809000037610531</v>
      </c>
      <c r="H99" s="11" t="n">
        <v>0.001721999957226217</v>
      </c>
      <c r="I99" s="11" t="n">
        <v>0.004191999789327383</v>
      </c>
      <c r="J99" s="11" t="n">
        <v>0.004544999916106462</v>
      </c>
      <c r="K99" s="11" t="n">
        <v>0.0003239999932702631</v>
      </c>
      <c r="L99" s="11" t="n">
        <v>-0.001041000010445714</v>
      </c>
      <c r="M99" s="11" t="n">
        <v>0.000986000057309866</v>
      </c>
      <c r="N99" s="9">
        <f>AVERAGE(B99,C99,E99)</f>
        <v/>
      </c>
    </row>
    <row r="100">
      <c r="A100" s="5" t="n">
        <v>96</v>
      </c>
      <c r="B100" s="11" t="n">
        <v>0.002050000010058284</v>
      </c>
      <c r="C100" s="11" t="n">
        <v>0.001172999967820942</v>
      </c>
      <c r="D100" s="11" t="n">
        <v>0.0004659999976865947</v>
      </c>
      <c r="E100" s="11" t="n">
        <v>0.00547999981790781</v>
      </c>
      <c r="F100" s="11" t="n">
        <v>0.001429999945685267</v>
      </c>
      <c r="G100" s="11" t="n">
        <v>-0.0004790000093635172</v>
      </c>
      <c r="H100" s="11" t="n">
        <v>-0.00216299993917346</v>
      </c>
      <c r="I100" s="11" t="n">
        <v>0.001933000050485134</v>
      </c>
      <c r="J100" s="11" t="n">
        <v>0.003233999945223331</v>
      </c>
      <c r="K100" s="11" t="n">
        <v>0.002308000111952424</v>
      </c>
      <c r="L100" s="11" t="n">
        <v>0.005878000054508448</v>
      </c>
      <c r="M100" s="11" t="n">
        <v>0.0007120000082068145</v>
      </c>
      <c r="N100" s="9">
        <f>AVERAGE(B100,C100,E100)</f>
        <v/>
      </c>
    </row>
    <row r="101">
      <c r="A101" s="5" t="n">
        <v>97</v>
      </c>
      <c r="B101" s="11" t="n">
        <v>0.001721999957226217</v>
      </c>
      <c r="C101" s="11" t="n">
        <v>-0.0001690000062808394</v>
      </c>
      <c r="D101" s="11" t="n">
        <v>-0.0003100000030826777</v>
      </c>
      <c r="E101" s="11" t="n">
        <v>0.001475999946705997</v>
      </c>
      <c r="F101" s="11" t="n">
        <v>0.00382099999114871</v>
      </c>
      <c r="G101" s="11" t="n">
        <v>-0.003737000050023198</v>
      </c>
      <c r="H101" s="11" t="n">
        <v>-0.001508999965153635</v>
      </c>
      <c r="I101" s="11" t="n">
        <v>0.0008120000129565597</v>
      </c>
      <c r="J101" s="11" t="n">
        <v>0.000750000006519258</v>
      </c>
      <c r="K101" s="11" t="n">
        <v>-0.003288999898359179</v>
      </c>
      <c r="L101" s="11" t="n">
        <v>0.004399999976158142</v>
      </c>
      <c r="M101" s="11" t="n">
        <v>0.001515000010840595</v>
      </c>
      <c r="N101" s="9">
        <f>AVERAGE(B101,C101,E101)</f>
        <v/>
      </c>
    </row>
    <row r="102">
      <c r="A102" s="5" t="n">
        <v>98</v>
      </c>
      <c r="B102" s="11" t="n">
        <v>0.001884000026620924</v>
      </c>
      <c r="C102" s="11" t="n">
        <v>0.004639000166207552</v>
      </c>
      <c r="D102" s="11" t="n">
        <v>0.005394999869167805</v>
      </c>
      <c r="E102" s="11" t="n">
        <v>0.004100000020116568</v>
      </c>
      <c r="F102" s="11" t="n">
        <v>-0.005167999770492315</v>
      </c>
      <c r="G102" s="11" t="n">
        <v>0.005572999827563763</v>
      </c>
      <c r="H102" s="11" t="n">
        <v>0.003024999983608723</v>
      </c>
      <c r="I102" s="11" t="n">
        <v>0.0007830000249668956</v>
      </c>
      <c r="J102" s="11" t="n">
        <v>0.009901000186800957</v>
      </c>
      <c r="K102" s="11" t="n">
        <v>-0.0008849999867379665</v>
      </c>
      <c r="L102" s="11" t="n">
        <v>0.005789999850094318</v>
      </c>
      <c r="M102" s="11" t="n">
        <v>0.002734000096097589</v>
      </c>
      <c r="N102" s="9">
        <f>AVERAGE(B102,C102,E102)</f>
        <v/>
      </c>
    </row>
    <row r="103">
      <c r="A103" s="5" t="n">
        <v>99</v>
      </c>
      <c r="B103" s="11" t="n">
        <v>-0.001090000034309924</v>
      </c>
      <c r="C103" s="11" t="n">
        <v>-0.001210000016726553</v>
      </c>
      <c r="D103" s="11" t="n">
        <v>0.004346999805420637</v>
      </c>
      <c r="E103" s="11" t="n">
        <v>-0.002497999928891659</v>
      </c>
      <c r="F103" s="11" t="n">
        <v>0.001811000052839518</v>
      </c>
      <c r="G103" s="11" t="n">
        <v>-0.009975999593734741</v>
      </c>
      <c r="H103" s="11" t="n">
        <v>-0.0007750000222586095</v>
      </c>
      <c r="I103" s="11" t="n">
        <v>0.002902999985963106</v>
      </c>
      <c r="J103" s="11" t="n">
        <v>0.007025999948382378</v>
      </c>
      <c r="K103" s="11" t="n">
        <v>0.002569000003859401</v>
      </c>
      <c r="L103" s="11" t="n">
        <v>0.004627999849617481</v>
      </c>
      <c r="M103" s="11" t="n">
        <v>0.0001360000023851171</v>
      </c>
      <c r="N103" s="9">
        <f>AVERAGE(B103,C103,E103)</f>
        <v/>
      </c>
    </row>
    <row r="104">
      <c r="A104" s="5" t="n">
        <v>100</v>
      </c>
      <c r="B104" s="11" t="n">
        <v>0.003167999908328056</v>
      </c>
      <c r="C104" s="11" t="n">
        <v>0.006794999819248915</v>
      </c>
      <c r="D104" s="11" t="n">
        <v>0.008666999638080597</v>
      </c>
      <c r="E104" s="11" t="n">
        <v>0.006113000214099884</v>
      </c>
      <c r="F104" s="11" t="n">
        <v>0.0002119999990100041</v>
      </c>
      <c r="G104" s="11" t="n">
        <v>-0.002055000048130751</v>
      </c>
      <c r="H104" s="11" t="n">
        <v>0.004856000188738108</v>
      </c>
      <c r="I104" s="11" t="n">
        <v>0.001904999953694642</v>
      </c>
      <c r="J104" s="11" t="n">
        <v>-0.001035999972373247</v>
      </c>
      <c r="K104" s="11" t="n">
        <v>0.002969000022858381</v>
      </c>
      <c r="L104" s="11" t="n">
        <v>0.009701999835669994</v>
      </c>
      <c r="M104" s="11" t="n">
        <v>0.004308999981731176</v>
      </c>
      <c r="N104" s="9">
        <f>AVERAGE(B104,C104,E104)</f>
        <v/>
      </c>
    </row>
    <row r="105">
      <c r="A105" s="5" t="n">
        <v>101</v>
      </c>
      <c r="B105" s="11" t="n">
        <v>0.0007919999770820141</v>
      </c>
      <c r="C105" s="11" t="n">
        <v>-0.0003140000044368207</v>
      </c>
      <c r="D105" s="11" t="n">
        <v>0.0008430000161752105</v>
      </c>
      <c r="E105" s="11" t="n">
        <v>-0.002189999911934137</v>
      </c>
      <c r="F105" s="11" t="n">
        <v>0.002771999919787049</v>
      </c>
      <c r="G105" s="11" t="n">
        <v>-0.000901999999769032</v>
      </c>
      <c r="H105" s="11" t="n">
        <v>0.003396000014618039</v>
      </c>
      <c r="I105" s="11" t="n">
        <v>0.002100999932736158</v>
      </c>
      <c r="J105" s="11" t="n">
        <v>0.00304299988783896</v>
      </c>
      <c r="K105" s="11" t="n">
        <v>2.099999983329326e-05</v>
      </c>
      <c r="L105" s="11" t="n">
        <v>-0.002883000066503882</v>
      </c>
      <c r="M105" s="11" t="n">
        <v>0.003141999943181872</v>
      </c>
      <c r="N105" s="9">
        <f>AVERAGE(B105,C105,E105)</f>
        <v/>
      </c>
    </row>
    <row r="106">
      <c r="A106" s="5" t="n">
        <v>102</v>
      </c>
      <c r="B106" s="11" t="n">
        <v>0.006661999970674515</v>
      </c>
      <c r="C106" s="11" t="n">
        <v>0.001953999977558851</v>
      </c>
      <c r="D106" s="11" t="n">
        <v>0.006070000119507313</v>
      </c>
      <c r="E106" s="11" t="n">
        <v>0.006283000111579895</v>
      </c>
      <c r="F106" s="11" t="n">
        <v>0.005365000106394291</v>
      </c>
      <c r="G106" s="11" t="n">
        <v>0.00471600005403161</v>
      </c>
      <c r="H106" s="11" t="n">
        <v>0.00279000005684793</v>
      </c>
      <c r="I106" s="11" t="n">
        <v>0.001952999969944358</v>
      </c>
      <c r="J106" s="11" t="n">
        <v>0.007528000045567751</v>
      </c>
      <c r="K106" s="11" t="n">
        <v>-0.002216999884694815</v>
      </c>
      <c r="L106" s="11" t="n">
        <v>0.01055399980396032</v>
      </c>
      <c r="M106" s="11" t="n">
        <v>0.004298000130802393</v>
      </c>
      <c r="N106" s="9">
        <f>AVERAGE(B106,C106,E106)</f>
        <v/>
      </c>
    </row>
    <row r="107">
      <c r="A107" s="5" t="n">
        <v>103</v>
      </c>
      <c r="B107" s="11" t="n">
        <v>0.007559000048786402</v>
      </c>
      <c r="C107" s="11" t="n">
        <v>0.002092000097036362</v>
      </c>
      <c r="D107" s="11" t="n">
        <v>0.005319999996572733</v>
      </c>
      <c r="E107" s="11" t="n">
        <v>0.00354099995456636</v>
      </c>
      <c r="F107" s="11" t="n">
        <v>0.004430000204592943</v>
      </c>
      <c r="G107" s="11" t="n">
        <v>0.01212199963629246</v>
      </c>
      <c r="H107" s="11" t="n">
        <v>0.004406000021845102</v>
      </c>
      <c r="I107" s="11" t="n">
        <v>-0.0006210000137798488</v>
      </c>
      <c r="J107" s="11" t="n">
        <v>0.005138999782502651</v>
      </c>
      <c r="K107" s="11" t="n">
        <v>0.001166000030934811</v>
      </c>
      <c r="L107" s="11" t="n">
        <v>0.0004490000137593597</v>
      </c>
      <c r="M107" s="11" t="n">
        <v>0.003280000062659383</v>
      </c>
      <c r="N107" s="9">
        <f>AVERAGE(B107,C107,E107)</f>
        <v/>
      </c>
    </row>
    <row r="108">
      <c r="A108" s="5" t="n">
        <v>104</v>
      </c>
      <c r="B108" s="11" t="n">
        <v>-0.004693000111728907</v>
      </c>
      <c r="C108" s="11" t="n">
        <v>0.004064000211656094</v>
      </c>
      <c r="D108" s="11" t="n">
        <v>0.005822000093758106</v>
      </c>
      <c r="E108" s="11" t="n">
        <v>0.002430000109598041</v>
      </c>
      <c r="F108" s="11" t="n">
        <v>0.008899999782443047</v>
      </c>
      <c r="G108" s="11" t="n">
        <v>0.002583999885246158</v>
      </c>
      <c r="H108" s="11" t="n">
        <v>0.002710999920964241</v>
      </c>
      <c r="I108" s="11" t="n">
        <v>-0.003317999886348844</v>
      </c>
      <c r="J108" s="11" t="n">
        <v>0.00459099980071187</v>
      </c>
      <c r="K108" s="11" t="n">
        <v>0.002050000010058284</v>
      </c>
      <c r="L108" s="11" t="n">
        <v>0.0116140004247427</v>
      </c>
      <c r="M108" s="11" t="n">
        <v>0.003103000111877918</v>
      </c>
      <c r="N108" s="9">
        <f>AVERAGE(B108,C108,E108)</f>
        <v/>
      </c>
    </row>
    <row r="109">
      <c r="A109" s="5" t="n">
        <v>105</v>
      </c>
      <c r="B109" s="11" t="n">
        <v>-0.001488000038079917</v>
      </c>
      <c r="C109" s="11" t="n">
        <v>-0.0009560000034980476</v>
      </c>
      <c r="D109" s="11" t="n">
        <v>-0.0008459999808110297</v>
      </c>
      <c r="E109" s="11" t="n">
        <v>0.008817000314593315</v>
      </c>
      <c r="F109" s="11" t="n">
        <v>0.004513999912887812</v>
      </c>
      <c r="G109" s="11" t="n">
        <v>0.001267999992705882</v>
      </c>
      <c r="H109" s="11" t="n">
        <v>0.001236999989487231</v>
      </c>
      <c r="I109" s="11" t="n">
        <v>0.003876999951899052</v>
      </c>
      <c r="J109" s="11" t="n">
        <v>0.005111999809741974</v>
      </c>
      <c r="K109" s="11" t="n">
        <v>0.002773999935016036</v>
      </c>
      <c r="L109" s="11" t="n">
        <v>0.01157800015062094</v>
      </c>
      <c r="M109" s="11" t="n">
        <v>0.002789000049233437</v>
      </c>
      <c r="N109" s="9">
        <f>AVERAGE(B109,C109,E109)</f>
        <v/>
      </c>
    </row>
    <row r="110">
      <c r="A110" s="5" t="n">
        <v>106</v>
      </c>
      <c r="B110" s="11" t="n">
        <v>-0.0002899999963119626</v>
      </c>
      <c r="C110" s="11" t="n">
        <v>0.001157999970018864</v>
      </c>
      <c r="D110" s="11" t="n">
        <v>0.001057000015862286</v>
      </c>
      <c r="E110" s="11" t="n">
        <v>0.009550999850034714</v>
      </c>
      <c r="F110" s="11" t="n">
        <v>0.001443000044673681</v>
      </c>
      <c r="G110" s="11" t="n">
        <v>-0.002259999979287386</v>
      </c>
      <c r="H110" s="11" t="n">
        <v>0.0003300000098533928</v>
      </c>
      <c r="I110" s="11" t="n">
        <v>-0.0006670000148005784</v>
      </c>
      <c r="J110" s="11" t="n">
        <v>0.002258999971672893</v>
      </c>
      <c r="K110" s="11" t="n">
        <v>0.0008590000215917826</v>
      </c>
      <c r="L110" s="11" t="n">
        <v>0.01119800005108118</v>
      </c>
      <c r="M110" s="11" t="n">
        <v>0.0004119999939575791</v>
      </c>
      <c r="N110" s="9">
        <f>AVERAGE(B110,C110,E110)</f>
        <v/>
      </c>
    </row>
    <row r="111">
      <c r="A111" s="5" t="n">
        <v>107</v>
      </c>
      <c r="B111" s="11" t="n">
        <v>-0.001769999973475933</v>
      </c>
      <c r="C111" s="11" t="n">
        <v>0.006341999862343073</v>
      </c>
      <c r="D111" s="11" t="n">
        <v>-0.0006060000159777701</v>
      </c>
      <c r="E111" s="11" t="n">
        <v>0.0006009999779053032</v>
      </c>
      <c r="F111" s="11" t="n">
        <v>-0.001766999950632453</v>
      </c>
      <c r="G111" s="11" t="n">
        <v>0.00125500001013279</v>
      </c>
      <c r="H111" s="11" t="n">
        <v>-0.0001380000030621886</v>
      </c>
      <c r="I111" s="11" t="n">
        <v>-0.0006169999833218753</v>
      </c>
      <c r="J111" s="11" t="n">
        <v>-0.0004269999917596579</v>
      </c>
      <c r="K111" s="11" t="n">
        <v>-0.0001950000005308539</v>
      </c>
      <c r="L111" s="11" t="n">
        <v>-0.004631999880075455</v>
      </c>
      <c r="M111" s="11" t="n">
        <v>0.002529999939724803</v>
      </c>
      <c r="N111" s="9">
        <f>AVERAGE(B111,C111,E111)</f>
        <v/>
      </c>
    </row>
    <row r="112">
      <c r="A112" s="5" t="n">
        <v>108</v>
      </c>
      <c r="B112" s="11" t="n">
        <v>0.002665000036358833</v>
      </c>
      <c r="C112" s="11" t="n">
        <v>0.003384999930858612</v>
      </c>
      <c r="D112" s="11" t="n">
        <v>0.0008849999867379665</v>
      </c>
      <c r="E112" s="11" t="n">
        <v>-0.001367000048048794</v>
      </c>
      <c r="F112" s="11" t="n">
        <v>-0.0008510000188834965</v>
      </c>
      <c r="G112" s="11" t="n">
        <v>0.007249999791383743</v>
      </c>
      <c r="H112" s="11" t="n">
        <v>-0.002002999885007739</v>
      </c>
      <c r="I112" s="11" t="n">
        <v>0.004151000175625086</v>
      </c>
      <c r="J112" s="11" t="n">
        <v>0.004517999943345785</v>
      </c>
      <c r="K112" s="11" t="n">
        <v>-0.002214000094681978</v>
      </c>
      <c r="L112" s="11" t="n">
        <v>0.006821999792009592</v>
      </c>
      <c r="M112" s="11" t="n">
        <v>0.0008660000166855752</v>
      </c>
      <c r="N112" s="9">
        <f>AVERAGE(B112,C112,E112)</f>
        <v/>
      </c>
    </row>
    <row r="113">
      <c r="A113" s="5" t="n">
        <v>109</v>
      </c>
      <c r="B113" s="11" t="n">
        <v>0.0005009999731555581</v>
      </c>
      <c r="C113" s="11" t="n">
        <v>0.006273000035434961</v>
      </c>
      <c r="D113" s="11" t="n">
        <v>0.006031999830156565</v>
      </c>
      <c r="E113" s="11" t="n">
        <v>0.001096999971196055</v>
      </c>
      <c r="F113" s="11" t="n">
        <v>0.001362000009976327</v>
      </c>
      <c r="G113" s="11" t="n">
        <v>0.01120099984109402</v>
      </c>
      <c r="H113" s="11" t="n">
        <v>0.002628999995067716</v>
      </c>
      <c r="I113" s="11" t="n">
        <v>-0.0009830000344663858</v>
      </c>
      <c r="J113" s="11" t="n">
        <v>-0.0004410000110510737</v>
      </c>
      <c r="K113" s="11" t="n">
        <v>-0.0008820000221021473</v>
      </c>
      <c r="L113" s="11" t="n">
        <v>0.009925000369548798</v>
      </c>
      <c r="M113" s="11" t="n">
        <v>0.003671000013127923</v>
      </c>
      <c r="N113" s="9">
        <f>AVERAGE(B113,C113,E113)</f>
        <v/>
      </c>
    </row>
    <row r="114">
      <c r="A114" s="5" t="n">
        <v>110</v>
      </c>
      <c r="B114" s="11" t="n">
        <v>0.007980999536812305</v>
      </c>
      <c r="C114" s="11" t="n">
        <v>0.004203999880701303</v>
      </c>
      <c r="D114" s="11" t="n">
        <v>0.003147999988868833</v>
      </c>
      <c r="E114" s="11" t="n">
        <v>0.005814000032842159</v>
      </c>
      <c r="F114" s="11" t="n">
        <v>-0.0005530000198632479</v>
      </c>
      <c r="G114" s="11" t="n">
        <v>-0.0001489999995101243</v>
      </c>
      <c r="H114" s="11" t="n">
        <v>-4.199999966658652e-05</v>
      </c>
      <c r="I114" s="11" t="n">
        <v>0.001429999945685267</v>
      </c>
      <c r="J114" s="11" t="n">
        <v>0.001730000018142164</v>
      </c>
      <c r="K114" s="11" t="n">
        <v>-0.001349000027403235</v>
      </c>
      <c r="L114" s="11" t="n">
        <v>0.008678000420331955</v>
      </c>
      <c r="M114" s="11" t="n">
        <v>0.003274000016972423</v>
      </c>
      <c r="N114" s="9">
        <f>AVERAGE(B114,C114,E114)</f>
        <v/>
      </c>
    </row>
    <row r="115">
      <c r="A115" s="5" t="n">
        <v>111</v>
      </c>
      <c r="B115" s="11" t="n">
        <v>-0.001021999982185662</v>
      </c>
      <c r="C115" s="11" t="n">
        <v>0.004827999975532293</v>
      </c>
      <c r="D115" s="11" t="n">
        <v>0.00392899988219142</v>
      </c>
      <c r="E115" s="11" t="n">
        <v>0.004257000051438808</v>
      </c>
      <c r="F115" s="11" t="n">
        <v>0.007385000120848417</v>
      </c>
      <c r="G115" s="11" t="n">
        <v>0.004389000125229359</v>
      </c>
      <c r="H115" s="11" t="n">
        <v>0.003339000046253204</v>
      </c>
      <c r="I115" s="11" t="n">
        <v>0.002374999923631549</v>
      </c>
      <c r="J115" s="11" t="n">
        <v>-0.0001449999981559813</v>
      </c>
      <c r="K115" s="11" t="n">
        <v>0.0005990000208839774</v>
      </c>
      <c r="L115" s="11" t="n">
        <v>0.006914000026881695</v>
      </c>
      <c r="M115" s="11" t="n">
        <v>0.001665999996475875</v>
      </c>
      <c r="N115" s="9">
        <f>AVERAGE(B115,C115,E115)</f>
        <v/>
      </c>
    </row>
    <row r="116">
      <c r="A116" s="5" t="n">
        <v>112</v>
      </c>
      <c r="B116" s="11" t="n">
        <v>0.006632999982684851</v>
      </c>
      <c r="C116" s="11" t="n">
        <v>0.003866000100970268</v>
      </c>
      <c r="D116" s="11" t="n">
        <v>0.001637000008486211</v>
      </c>
      <c r="E116" s="11" t="n">
        <v>0.0004140000091865659</v>
      </c>
      <c r="F116" s="11" t="n">
        <v>0.002956999931484461</v>
      </c>
      <c r="G116" s="11" t="n">
        <v>0.001486000022850931</v>
      </c>
      <c r="H116" s="11" t="n">
        <v>0.002410999964922667</v>
      </c>
      <c r="I116" s="11" t="n">
        <v>0.002362000057473779</v>
      </c>
      <c r="J116" s="11" t="n">
        <v>-0.0005019999807700515</v>
      </c>
      <c r="K116" s="11" t="n">
        <v>0.0004309999931138009</v>
      </c>
      <c r="L116" s="11" t="n">
        <v>0.006058999802917242</v>
      </c>
      <c r="M116" s="11" t="n">
        <v>0.0005719999899156392</v>
      </c>
      <c r="N116" s="9">
        <f>AVERAGE(B116,C116,E116)</f>
        <v/>
      </c>
    </row>
    <row r="117">
      <c r="A117" s="5" t="n">
        <v>113</v>
      </c>
      <c r="B117" s="11" t="n">
        <v>0.002263000002130866</v>
      </c>
      <c r="C117" s="11" t="n">
        <v>0.006659000180661678</v>
      </c>
      <c r="D117" s="11" t="n">
        <v>0.00367600005120039</v>
      </c>
      <c r="E117" s="11" t="n">
        <v>0.0008159999852068722</v>
      </c>
      <c r="F117" s="11" t="n">
        <v>0.001746000023558736</v>
      </c>
      <c r="G117" s="11" t="n">
        <v>0.001640000031329691</v>
      </c>
      <c r="H117" s="11" t="n">
        <v>-0.00152900000102818</v>
      </c>
      <c r="I117" s="11" t="n">
        <v>0.0006130000110715628</v>
      </c>
      <c r="J117" s="11" t="n">
        <v>0.005747000221163034</v>
      </c>
      <c r="K117" s="11" t="n">
        <v>0.001992000034078956</v>
      </c>
      <c r="L117" s="11" t="n">
        <v>0.002950999885797501</v>
      </c>
      <c r="M117" s="11" t="n">
        <v>0.004647000227123499</v>
      </c>
      <c r="N117" s="9">
        <f>AVERAGE(B117,C117,E117)</f>
        <v/>
      </c>
    </row>
    <row r="118">
      <c r="A118" s="5" t="n">
        <v>114</v>
      </c>
      <c r="B118" s="11" t="n">
        <v>0.003238999983295798</v>
      </c>
      <c r="C118" s="11" t="n">
        <v>0.0001530000008642673</v>
      </c>
      <c r="D118" s="11" t="n">
        <v>0.005462999921292067</v>
      </c>
      <c r="E118" s="11" t="n">
        <v>0.002158999908715487</v>
      </c>
      <c r="F118" s="11" t="n">
        <v>0.003418999956920743</v>
      </c>
      <c r="G118" s="11" t="n">
        <v>0.006428000051528215</v>
      </c>
      <c r="H118" s="11" t="n">
        <v>0.001176999998278916</v>
      </c>
      <c r="I118" s="11" t="n">
        <v>-0.0003520000027492642</v>
      </c>
      <c r="J118" s="11" t="n">
        <v>0.002956999931484461</v>
      </c>
      <c r="K118" s="11" t="n">
        <v>0.002716999966651201</v>
      </c>
      <c r="L118" s="11" t="n">
        <v>-8.299999899463728e-05</v>
      </c>
      <c r="M118" s="11" t="n">
        <v>0.0002979999990202487</v>
      </c>
      <c r="N118" s="9">
        <f>AVERAGE(B118,C118,E118)</f>
        <v/>
      </c>
    </row>
    <row r="119">
      <c r="A119" s="5" t="n">
        <v>115</v>
      </c>
      <c r="B119" s="11" t="n">
        <v>-0.0006479999865405262</v>
      </c>
      <c r="C119" s="11" t="n">
        <v>-0.0005549999768845737</v>
      </c>
      <c r="D119" s="11" t="n">
        <v>0.00636299978941679</v>
      </c>
      <c r="E119" s="11" t="n">
        <v>0.004947999957948923</v>
      </c>
      <c r="F119" s="11" t="n">
        <v>0.004637000150978565</v>
      </c>
      <c r="G119" s="11" t="n">
        <v>0.001813999959267676</v>
      </c>
      <c r="H119" s="11" t="n">
        <v>0.003580000018700957</v>
      </c>
      <c r="I119" s="11" t="n">
        <v>-0.0002479999966453761</v>
      </c>
      <c r="J119" s="11" t="n">
        <v>-0.0001699999993434176</v>
      </c>
      <c r="K119" s="11" t="n">
        <v>-0.0006629999843426049</v>
      </c>
      <c r="L119" s="11" t="n">
        <v>0.008005999960005283</v>
      </c>
      <c r="M119" s="11" t="n">
        <v>-0.001114999991841614</v>
      </c>
      <c r="N119" s="9">
        <f>AVERAGE(B119,C119,E119)</f>
        <v/>
      </c>
    </row>
    <row r="120">
      <c r="A120" s="5" t="n">
        <v>116</v>
      </c>
      <c r="B120" s="11" t="n">
        <v>0.003700000001117587</v>
      </c>
      <c r="C120" s="11" t="n">
        <v>0.002614000113680959</v>
      </c>
      <c r="D120" s="11" t="n">
        <v>0.003963000141084194</v>
      </c>
      <c r="E120" s="11" t="n">
        <v>-0.0002149999927496538</v>
      </c>
      <c r="F120" s="11" t="n">
        <v>0.001912000006996095</v>
      </c>
      <c r="G120" s="11" t="n">
        <v>0.003217000048607588</v>
      </c>
      <c r="H120" s="11" t="n">
        <v>-0.003663999959826469</v>
      </c>
      <c r="I120" s="11" t="n">
        <v>0.00076299998909235</v>
      </c>
      <c r="J120" s="11" t="n">
        <v>0.004780999850481749</v>
      </c>
      <c r="K120" s="11" t="n">
        <v>-0.002794000087305903</v>
      </c>
      <c r="L120" s="11" t="n">
        <v>-0.003272000001743436</v>
      </c>
      <c r="M120" s="11" t="n">
        <v>-0.0008329999982379377</v>
      </c>
      <c r="N120" s="9">
        <f>AVERAGE(B120,C120,E120)</f>
        <v/>
      </c>
    </row>
    <row r="121">
      <c r="A121" s="5" t="n">
        <v>117</v>
      </c>
      <c r="B121" s="11" t="n">
        <v>6.299999949987978e-05</v>
      </c>
      <c r="C121" s="11" t="n">
        <v>-0.004393999930471182</v>
      </c>
      <c r="D121" s="11" t="n">
        <v>0.001001000055111945</v>
      </c>
      <c r="E121" s="11" t="n">
        <v>0.00316899991594255</v>
      </c>
      <c r="F121" s="11" t="n">
        <v>-0.003874999936670065</v>
      </c>
      <c r="G121" s="11" t="n">
        <v>-0.005382000003010035</v>
      </c>
      <c r="H121" s="11" t="n">
        <v>0.002294000005349517</v>
      </c>
      <c r="I121" s="11" t="n">
        <v>0.001913000014610589</v>
      </c>
      <c r="J121" s="11" t="n">
        <v>0.0008329999982379377</v>
      </c>
      <c r="K121" s="11" t="n">
        <v>0.0009289999725297093</v>
      </c>
      <c r="L121" s="11" t="n">
        <v>0.007331999950110912</v>
      </c>
      <c r="M121" s="11" t="n">
        <v>7.79999973019585e-05</v>
      </c>
      <c r="N121" s="9">
        <f>AVERAGE(B121,C121,E121)</f>
        <v/>
      </c>
    </row>
    <row r="122">
      <c r="A122" s="5" t="n">
        <v>118</v>
      </c>
      <c r="B122" s="11" t="n">
        <v>0.002394000068306923</v>
      </c>
      <c r="C122" s="11" t="n">
        <v>0.002675000112503767</v>
      </c>
      <c r="D122" s="11" t="n">
        <v>0.005123999901115894</v>
      </c>
      <c r="E122" s="11" t="n">
        <v>0.006256000138819218</v>
      </c>
      <c r="F122" s="11" t="n">
        <v>0.00239900010637939</v>
      </c>
      <c r="G122" s="11" t="n">
        <v>0.004232000093907118</v>
      </c>
      <c r="H122" s="11" t="n">
        <v>0.004139999859035015</v>
      </c>
      <c r="I122" s="11" t="n">
        <v>0.0001610000035725534</v>
      </c>
      <c r="J122" s="11" t="n">
        <v>0.00484299985691905</v>
      </c>
      <c r="K122" s="11" t="n">
        <v>0.002329000039026141</v>
      </c>
      <c r="L122" s="11" t="n">
        <v>-0.002482000039890409</v>
      </c>
      <c r="M122" s="11" t="n">
        <v>0.002596999984234571</v>
      </c>
      <c r="N122" s="9">
        <f>AVERAGE(B122,C122,E122)</f>
        <v/>
      </c>
    </row>
    <row r="123">
      <c r="A123" s="5" t="n">
        <v>119</v>
      </c>
      <c r="B123" s="11" t="n">
        <v>-0.0001250000059371814</v>
      </c>
      <c r="C123" s="11" t="n">
        <v>-0.0007999999797903001</v>
      </c>
      <c r="D123" s="11" t="n">
        <v>-0.003892000066116452</v>
      </c>
      <c r="E123" s="11" t="n">
        <v>-0.005979999899864197</v>
      </c>
      <c r="F123" s="11" t="n">
        <v>-0.001609000028111041</v>
      </c>
      <c r="G123" s="11" t="n">
        <v>-0.002616999903693795</v>
      </c>
      <c r="H123" s="11" t="n">
        <v>-0.0008299999753944576</v>
      </c>
      <c r="I123" s="11" t="n">
        <v>0.001230999943800271</v>
      </c>
      <c r="J123" s="11" t="n">
        <v>-0.001055000000633299</v>
      </c>
      <c r="K123" s="11" t="n">
        <v>-0.00230100005865097</v>
      </c>
      <c r="L123" s="11" t="n">
        <v>-0.003320999909192324</v>
      </c>
      <c r="M123" s="11" t="n">
        <v>-0.003007000079378486</v>
      </c>
      <c r="N123" s="9">
        <f>AVERAGE(B123,C123,E123)</f>
        <v/>
      </c>
    </row>
    <row r="124">
      <c r="A124" s="5" t="n">
        <v>120</v>
      </c>
      <c r="B124" s="11" t="n">
        <v>0.004428999964147806</v>
      </c>
      <c r="C124" s="11" t="n">
        <v>0.00253800000064075</v>
      </c>
      <c r="D124" s="11" t="n">
        <v>0.00108900002669543</v>
      </c>
      <c r="E124" s="11" t="n">
        <v>0.00471600005403161</v>
      </c>
      <c r="F124" s="11" t="n">
        <v>0.005406999960541725</v>
      </c>
      <c r="G124" s="11" t="n">
        <v>0.0006489999941550195</v>
      </c>
      <c r="H124" s="11" t="n">
        <v>0.0008580000139772892</v>
      </c>
      <c r="I124" s="11" t="n">
        <v>0.0002019999956246465</v>
      </c>
      <c r="J124" s="11" t="n">
        <v>0.007087999954819679</v>
      </c>
      <c r="K124" s="11" t="n">
        <v>0.002353999996557832</v>
      </c>
      <c r="L124" s="11" t="n">
        <v>0.007902000099420547</v>
      </c>
      <c r="M124" s="11" t="n">
        <v>0.001878999988548458</v>
      </c>
      <c r="N124" s="9">
        <f>AVERAGE(B124,C124,E124)</f>
        <v/>
      </c>
    </row>
    <row r="125">
      <c r="A125" s="5" t="n">
        <v>121</v>
      </c>
      <c r="B125" s="11" t="n">
        <v>0.004585999995470047</v>
      </c>
      <c r="C125" s="11" t="n">
        <v>0.0009180000051856041</v>
      </c>
      <c r="D125" s="11" t="n">
        <v>0.0004680000129155815</v>
      </c>
      <c r="E125" s="11" t="n">
        <v>-0.000101999998150859</v>
      </c>
      <c r="F125" s="11" t="n">
        <v>0.0007130000158213079</v>
      </c>
      <c r="G125" s="11" t="n">
        <v>-1.899999915622175e-05</v>
      </c>
      <c r="H125" s="11" t="n">
        <v>0.001112999976612628</v>
      </c>
      <c r="I125" s="11" t="n">
        <v>0.001677999971434474</v>
      </c>
      <c r="J125" s="11" t="n">
        <v>-0.002558999927714467</v>
      </c>
      <c r="K125" s="11" t="n">
        <v>-0.001439000014215708</v>
      </c>
      <c r="L125" s="11" t="n">
        <v>0.0001979999942705035</v>
      </c>
      <c r="M125" s="11" t="n">
        <v>0.001113999984227121</v>
      </c>
      <c r="N125" s="9">
        <f>AVERAGE(B125,C125,E125)</f>
        <v/>
      </c>
    </row>
    <row r="126">
      <c r="A126" s="5" t="n">
        <v>122</v>
      </c>
      <c r="B126" s="11" t="n">
        <v>0.001188999973237514</v>
      </c>
      <c r="C126" s="11" t="n">
        <v>0.004114000126719475</v>
      </c>
      <c r="D126" s="11" t="n">
        <v>0.0004889999981969595</v>
      </c>
      <c r="E126" s="11" t="n">
        <v>-0.0002819999936036766</v>
      </c>
      <c r="F126" s="11" t="n">
        <v>-0.002218999899923801</v>
      </c>
      <c r="G126" s="11" t="n">
        <v>0.002672000089660287</v>
      </c>
      <c r="H126" s="11" t="n">
        <v>0.002643000101670623</v>
      </c>
      <c r="I126" s="11" t="n">
        <v>-9.000000318337698e-06</v>
      </c>
      <c r="J126" s="11" t="n">
        <v>-0.0003399999986868352</v>
      </c>
      <c r="K126" s="11" t="n">
        <v>0.003710000077262521</v>
      </c>
      <c r="L126" s="11" t="n">
        <v>0.009405000135302544</v>
      </c>
      <c r="M126" s="11" t="n">
        <v>7.999999979801942e-06</v>
      </c>
      <c r="N126" s="9">
        <f>AVERAGE(B126,C126,E126)</f>
        <v/>
      </c>
    </row>
    <row r="127">
      <c r="A127" s="5" t="n">
        <v>123</v>
      </c>
      <c r="B127" s="11" t="n">
        <v>0.004476999863982201</v>
      </c>
      <c r="C127" s="11" t="n">
        <v>0.003922999836504459</v>
      </c>
      <c r="D127" s="11" t="n">
        <v>-0.002294000005349517</v>
      </c>
      <c r="E127" s="11" t="n">
        <v>0.0002640000020619482</v>
      </c>
      <c r="F127" s="11" t="n">
        <v>0.0008490000036545098</v>
      </c>
      <c r="G127" s="11" t="n">
        <v>-0.0004450000124052167</v>
      </c>
      <c r="H127" s="11" t="n">
        <v>0.002635000040754676</v>
      </c>
      <c r="I127" s="11" t="n">
        <v>-0.003615000052377582</v>
      </c>
      <c r="J127" s="11" t="n">
        <v>0.00558600015938282</v>
      </c>
      <c r="K127" s="11" t="n">
        <v>0.002488000085577369</v>
      </c>
      <c r="L127" s="11" t="n">
        <v>0.00201799999922514</v>
      </c>
      <c r="M127" s="11" t="n">
        <v>0.0024210000410676</v>
      </c>
      <c r="N127" s="9">
        <f>AVERAGE(B127,C127,E127)</f>
        <v/>
      </c>
    </row>
    <row r="128">
      <c r="A128" s="5" t="n">
        <v>124</v>
      </c>
      <c r="B128" s="11" t="n">
        <v>0.003047999925911427</v>
      </c>
      <c r="C128" s="11" t="n">
        <v>0.007633999921381474</v>
      </c>
      <c r="D128" s="11" t="n">
        <v>0.001083999988622963</v>
      </c>
      <c r="E128" s="11" t="n">
        <v>0.0003760000108741224</v>
      </c>
      <c r="F128" s="11" t="n">
        <v>0.0002300000051036477</v>
      </c>
      <c r="G128" s="11" t="n">
        <v>0.002705000108107924</v>
      </c>
      <c r="H128" s="11" t="n">
        <v>-0.0005230000242590904</v>
      </c>
      <c r="I128" s="11" t="n">
        <v>-0.001025000005029142</v>
      </c>
      <c r="J128" s="11" t="n">
        <v>-0.0001369999954476953</v>
      </c>
      <c r="K128" s="11" t="n">
        <v>0.001744000008329749</v>
      </c>
      <c r="L128" s="11" t="n">
        <v>0.005696000065654516</v>
      </c>
      <c r="M128" s="11" t="n">
        <v>0.00165200000628829</v>
      </c>
      <c r="N128" s="9">
        <f>AVERAGE(B128,C128,E128)</f>
        <v/>
      </c>
    </row>
    <row r="129">
      <c r="A129" s="5" t="n">
        <v>125</v>
      </c>
      <c r="B129" s="11" t="n">
        <v>0.0004630000039469451</v>
      </c>
      <c r="C129" s="11" t="n">
        <v>0.007286000065505505</v>
      </c>
      <c r="D129" s="11" t="n">
        <v>0.002386000007390976</v>
      </c>
      <c r="E129" s="11" t="n">
        <v>0.006943000014871359</v>
      </c>
      <c r="F129" s="11" t="n">
        <v>0.001309999963268638</v>
      </c>
      <c r="G129" s="11" t="n">
        <v>0.008205000311136246</v>
      </c>
      <c r="H129" s="11" t="n">
        <v>-0.001025000005029142</v>
      </c>
      <c r="I129" s="11" t="n">
        <v>-0.0001920000067912042</v>
      </c>
      <c r="J129" s="11" t="n">
        <v>0.002509000012651086</v>
      </c>
      <c r="K129" s="11" t="n">
        <v>0.003509999951347709</v>
      </c>
      <c r="L129" s="11" t="n">
        <v>0.004935999866575003</v>
      </c>
      <c r="M129" s="11" t="n">
        <v>-8.299999899463728e-05</v>
      </c>
      <c r="N129" s="9">
        <f>AVERAGE(B129,C129,E129)</f>
        <v/>
      </c>
    </row>
    <row r="130">
      <c r="A130" s="5" t="n">
        <v>126</v>
      </c>
      <c r="B130" s="11" t="n">
        <v>0.003323999932035804</v>
      </c>
      <c r="C130" s="11" t="n">
        <v>0.003409999888390303</v>
      </c>
      <c r="D130" s="11" t="n">
        <v>0.003607999999076128</v>
      </c>
      <c r="E130" s="11" t="n">
        <v>0.00164599996060133</v>
      </c>
      <c r="F130" s="11" t="n">
        <v>0.002052000025287271</v>
      </c>
      <c r="G130" s="11" t="n">
        <v>0.007977000437676907</v>
      </c>
      <c r="H130" s="11" t="n">
        <v>0.0004260000132489949</v>
      </c>
      <c r="I130" s="11" t="n">
        <v>0.0001670000056037679</v>
      </c>
      <c r="J130" s="11" t="n">
        <v>0.009167999960482121</v>
      </c>
      <c r="K130" s="11" t="n">
        <v>0.003826000029221177</v>
      </c>
      <c r="L130" s="11" t="n">
        <v>0.005942999850958586</v>
      </c>
      <c r="M130" s="11" t="n">
        <v>0.002309999894350767</v>
      </c>
      <c r="N130" s="9">
        <f>AVERAGE(B130,C130,E130)</f>
        <v/>
      </c>
    </row>
    <row r="131">
      <c r="A131" s="5" t="n">
        <v>127</v>
      </c>
      <c r="B131" s="11" t="n">
        <v>0.0002180000010412186</v>
      </c>
      <c r="C131" s="11" t="n">
        <v>0.001032999949529767</v>
      </c>
      <c r="D131" s="11" t="n">
        <v>0.00609700009226799</v>
      </c>
      <c r="E131" s="11" t="n">
        <v>0.008196000009775162</v>
      </c>
      <c r="F131" s="11" t="n">
        <v>0.009445000439882278</v>
      </c>
      <c r="G131" s="11" t="n">
        <v>0.008704000152647495</v>
      </c>
      <c r="H131" s="11" t="n">
        <v>0.003158000065013766</v>
      </c>
      <c r="I131" s="11" t="n">
        <v>0.001791000016964972</v>
      </c>
      <c r="J131" s="11" t="n">
        <v>0.002540000015869737</v>
      </c>
      <c r="K131" s="11" t="n">
        <v>0.002343999920412898</v>
      </c>
      <c r="L131" s="11" t="n">
        <v>0.002992999972775578</v>
      </c>
      <c r="M131" s="11" t="n">
        <v>0.002454000059515238</v>
      </c>
      <c r="N131" s="9">
        <f>AVERAGE(B131,C131,E131)</f>
        <v/>
      </c>
    </row>
    <row r="132">
      <c r="A132" s="5" t="n">
        <v>128</v>
      </c>
      <c r="B132" s="11" t="n">
        <v>4.800000169780105e-05</v>
      </c>
      <c r="C132" s="11" t="n">
        <v>0.004598999861627817</v>
      </c>
      <c r="D132" s="11" t="n">
        <v>0.001078999950550497</v>
      </c>
      <c r="E132" s="11" t="n">
        <v>0.005861000157892704</v>
      </c>
      <c r="F132" s="11" t="n">
        <v>0.006940999999642372</v>
      </c>
      <c r="G132" s="11" t="n">
        <v>0.009456999599933624</v>
      </c>
      <c r="H132" s="11" t="n">
        <v>0.00242700008675456</v>
      </c>
      <c r="I132" s="11" t="n">
        <v>0.0007149999728426337</v>
      </c>
      <c r="J132" s="11" t="n">
        <v>0.0007159999804571271</v>
      </c>
      <c r="K132" s="11" t="n">
        <v>0.002007999923080206</v>
      </c>
      <c r="L132" s="11" t="n">
        <v>-0.008023999631404877</v>
      </c>
      <c r="M132" s="11" t="n">
        <v>0.0004879999905824661</v>
      </c>
      <c r="N132" s="9">
        <f>AVERAGE(B132,C132,E132)</f>
        <v/>
      </c>
    </row>
    <row r="134">
      <c r="A134" s="4" t="inlineStr">
        <is>
          <t>skor ALS</t>
        </is>
      </c>
      <c r="B134" s="9">
        <f>SUMPRODUCT(N5:N132,B5:B132)</f>
        <v/>
      </c>
      <c r="C134" s="9">
        <f>SUMPRODUCT(N5:N132,C5:C132)</f>
        <v/>
      </c>
      <c r="D134" s="9">
        <f>SUMPRODUCT(N5:N132,D5:D132)</f>
        <v/>
      </c>
      <c r="E134" s="9">
        <f>SUMPRODUCT(N5:N132,E5:E132)</f>
        <v/>
      </c>
      <c r="F134" s="9">
        <f>SUMPRODUCT(N5:N132,F5:F132)</f>
        <v/>
      </c>
      <c r="G134" s="9">
        <f>SUMPRODUCT(N5:N132,G5:G132)</f>
        <v/>
      </c>
      <c r="H134" s="9">
        <f>SUMPRODUCT(N5:N132,H5:H132)</f>
        <v/>
      </c>
      <c r="I134" s="9">
        <f>SUMPRODUCT(N5:N132,I5:I132)</f>
        <v/>
      </c>
      <c r="J134" s="9">
        <f>SUMPRODUCT(N5:N132,J5:J132)</f>
        <v/>
      </c>
      <c r="K134" s="9">
        <f>SUMPRODUCT(N5:N132,K5:K132)</f>
        <v/>
      </c>
      <c r="L134" s="9">
        <f>SUMPRODUCT(N5:N132,L5:L132)</f>
        <v/>
      </c>
      <c r="M134" s="9">
        <f>SUMPRODUCT(N5:N132,M5:M132)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6" customWidth="1" min="1" max="1"/>
    <col width="14" customWidth="1" min="2" max="2"/>
    <col width="8" customWidth="1" min="3" max="3"/>
    <col width="12" customWidth="1" min="4" max="4"/>
    <col width="12" customWidth="1" min="5" max="5"/>
    <col width="12" customWidth="1" min="6" max="6"/>
    <col width="12" customWidth="1" min="7" max="7"/>
    <col width="14" customWidth="1" min="8" max="8"/>
    <col width="10" customWidth="1" min="9" max="9"/>
    <col width="10" customWidth="1" min="10" max="10"/>
  </cols>
  <sheetData>
    <row r="1">
      <c r="A1" s="1" t="inlineStr">
        <is>
          <t>9 - Skor hybrid (alpha = 0,8) dan peringkat</t>
        </is>
      </c>
    </row>
    <row r="2">
      <c r="A2" s="2" t="inlineStr">
        <is>
          <t>min-max per kolom skor mentah (BATAS 2: di sini atas 12 kandidat). Skor = alpha x minmax(ALS) + (1 - alpha) x minmax(CBF). Artikel sesi dimask persis seperti _mask di serving.py.</t>
        </is>
      </c>
    </row>
    <row r="4" ht="30" customHeight="1">
      <c r="A4" s="3" t="inlineStr">
        <is>
          <t>Pos</t>
        </is>
      </c>
      <c r="B4" s="3" t="inlineStr">
        <is>
          <t>nid</t>
        </is>
      </c>
      <c r="C4" s="3" t="inlineStr">
        <is>
          <t>Sesi?</t>
        </is>
      </c>
      <c r="D4" s="3" t="inlineStr">
        <is>
          <t>skor ALS</t>
        </is>
      </c>
      <c r="E4" s="3" t="inlineStr">
        <is>
          <t>minmax ALS</t>
        </is>
      </c>
      <c r="F4" s="3" t="inlineStr">
        <is>
          <t>skor CBF</t>
        </is>
      </c>
      <c r="G4" s="3" t="inlineStr">
        <is>
          <t>minmax CBF</t>
        </is>
      </c>
      <c r="H4" s="3" t="inlineStr">
        <is>
          <t>skor hybrid</t>
        </is>
      </c>
      <c r="I4" s="3" t="inlineStr">
        <is>
          <t>dilayani?</t>
        </is>
      </c>
      <c r="J4" s="3" t="inlineStr">
        <is>
          <t>Peringkat</t>
        </is>
      </c>
    </row>
    <row r="5">
      <c r="A5" s="5" t="n">
        <v>1</v>
      </c>
      <c r="B5" s="6" t="inlineStr">
        <is>
          <t>I2d5df0726f</t>
        </is>
      </c>
      <c r="C5" s="5" t="inlineStr">
        <is>
          <t>Ya</t>
        </is>
      </c>
      <c r="D5" s="9">
        <f>'8_ALS'!B$134</f>
        <v/>
      </c>
      <c r="E5" s="9">
        <f>(D5-MIN($D$5:$D$16))/(MAX($D$5:$D$16)-MIN($D$5:$D$16))</f>
        <v/>
      </c>
      <c r="F5" s="9">
        <f>'7_CBF'!D5</f>
        <v/>
      </c>
      <c r="G5" s="9">
        <f>(F5-MIN($F$5:$F$16))/(MAX($F$5:$F$16)-MIN($F$5:$F$16))</f>
        <v/>
      </c>
      <c r="H5" s="9">
        <f>'1_Data'!$L$5*E5+'1_Data'!$L$6*G5</f>
        <v/>
      </c>
      <c r="I5" s="5">
        <f>IF(C5="Ya","-","ya")</f>
        <v/>
      </c>
      <c r="J5" s="5">
        <f>IF(I5="-","",COUNTIFS($H$5:$H$16,"&gt;"&amp;H5,$I$5:$I$16,"&lt;&gt;-")+COUNTIFS($H$5:$H$16,H5,$I$5:$I$16,"&lt;&gt;-",$A$5:$A$16,"&lt;"&amp;A5)+1)</f>
        <v/>
      </c>
    </row>
    <row r="6">
      <c r="A6" s="5" t="n">
        <v>2</v>
      </c>
      <c r="B6" s="6" t="inlineStr">
        <is>
          <t>I0f3340d602</t>
        </is>
      </c>
      <c r="C6" s="5" t="inlineStr">
        <is>
          <t>Ya</t>
        </is>
      </c>
      <c r="D6" s="9">
        <f>'8_ALS'!C$134</f>
        <v/>
      </c>
      <c r="E6" s="9">
        <f>(D6-MIN($D$5:$D$16))/(MAX($D$5:$D$16)-MIN($D$5:$D$16))</f>
        <v/>
      </c>
      <c r="F6" s="9">
        <f>'7_CBF'!D6</f>
        <v/>
      </c>
      <c r="G6" s="9">
        <f>(F6-MIN($F$5:$F$16))/(MAX($F$5:$F$16)-MIN($F$5:$F$16))</f>
        <v/>
      </c>
      <c r="H6" s="9">
        <f>'1_Data'!$L$5*E6+'1_Data'!$L$6*G6</f>
        <v/>
      </c>
      <c r="I6" s="5">
        <f>IF(C6="Ya","-","ya")</f>
        <v/>
      </c>
      <c r="J6" s="5">
        <f>IF(I6="-","",COUNTIFS($H$5:$H$16,"&gt;"&amp;H6,$I$5:$I$16,"&lt;&gt;-")+COUNTIFS($H$5:$H$16,H6,$I$5:$I$16,"&lt;&gt;-",$A$5:$A$16,"&lt;"&amp;A6)+1)</f>
        <v/>
      </c>
    </row>
    <row r="7">
      <c r="A7" s="5" t="n">
        <v>3</v>
      </c>
      <c r="B7" s="6" t="inlineStr">
        <is>
          <t>Ic3f4f2512e</t>
        </is>
      </c>
      <c r="C7" s="5" t="inlineStr">
        <is>
          <t>-</t>
        </is>
      </c>
      <c r="D7" s="9">
        <f>'8_ALS'!D$134</f>
        <v/>
      </c>
      <c r="E7" s="9">
        <f>(D7-MIN($D$5:$D$16))/(MAX($D$5:$D$16)-MIN($D$5:$D$16))</f>
        <v/>
      </c>
      <c r="F7" s="9">
        <f>'7_CBF'!D7</f>
        <v/>
      </c>
      <c r="G7" s="9">
        <f>(F7-MIN($F$5:$F$16))/(MAX($F$5:$F$16)-MIN($F$5:$F$16))</f>
        <v/>
      </c>
      <c r="H7" s="9">
        <f>'1_Data'!$L$5*E7+'1_Data'!$L$6*G7</f>
        <v/>
      </c>
      <c r="I7" s="5">
        <f>IF(C7="Ya","-","ya")</f>
        <v/>
      </c>
      <c r="J7" s="5">
        <f>IF(I7="-","",COUNTIFS($H$5:$H$16,"&gt;"&amp;H7,$I$5:$I$16,"&lt;&gt;-")+COUNTIFS($H$5:$H$16,H7,$I$5:$I$16,"&lt;&gt;-",$A$5:$A$16,"&lt;"&amp;A7)+1)</f>
        <v/>
      </c>
    </row>
    <row r="8">
      <c r="A8" s="5" t="n">
        <v>4</v>
      </c>
      <c r="B8" s="6" t="inlineStr">
        <is>
          <t>Ifa9f81c923</t>
        </is>
      </c>
      <c r="C8" s="5" t="inlineStr">
        <is>
          <t>Ya</t>
        </is>
      </c>
      <c r="D8" s="9">
        <f>'8_ALS'!E$134</f>
        <v/>
      </c>
      <c r="E8" s="9">
        <f>(D8-MIN($D$5:$D$16))/(MAX($D$5:$D$16)-MIN($D$5:$D$16))</f>
        <v/>
      </c>
      <c r="F8" s="9">
        <f>'7_CBF'!D8</f>
        <v/>
      </c>
      <c r="G8" s="9">
        <f>(F8-MIN($F$5:$F$16))/(MAX($F$5:$F$16)-MIN($F$5:$F$16))</f>
        <v/>
      </c>
      <c r="H8" s="9">
        <f>'1_Data'!$L$5*E8+'1_Data'!$L$6*G8</f>
        <v/>
      </c>
      <c r="I8" s="5">
        <f>IF(C8="Ya","-","ya")</f>
        <v/>
      </c>
      <c r="J8" s="5">
        <f>IF(I8="-","",COUNTIFS($H$5:$H$16,"&gt;"&amp;H8,$I$5:$I$16,"&lt;&gt;-")+COUNTIFS($H$5:$H$16,H8,$I$5:$I$16,"&lt;&gt;-",$A$5:$A$16,"&lt;"&amp;A8)+1)</f>
        <v/>
      </c>
    </row>
    <row r="9">
      <c r="A9" s="5" t="n">
        <v>5</v>
      </c>
      <c r="B9" s="6" t="inlineStr">
        <is>
          <t>I1d82a5e6ee</t>
        </is>
      </c>
      <c r="C9" s="5" t="inlineStr">
        <is>
          <t>-</t>
        </is>
      </c>
      <c r="D9" s="9">
        <f>'8_ALS'!F$134</f>
        <v/>
      </c>
      <c r="E9" s="9">
        <f>(D9-MIN($D$5:$D$16))/(MAX($D$5:$D$16)-MIN($D$5:$D$16))</f>
        <v/>
      </c>
      <c r="F9" s="9">
        <f>'7_CBF'!D9</f>
        <v/>
      </c>
      <c r="G9" s="9">
        <f>(F9-MIN($F$5:$F$16))/(MAX($F$5:$F$16)-MIN($F$5:$F$16))</f>
        <v/>
      </c>
      <c r="H9" s="9">
        <f>'1_Data'!$L$5*E9+'1_Data'!$L$6*G9</f>
        <v/>
      </c>
      <c r="I9" s="5">
        <f>IF(C9="Ya","-","ya")</f>
        <v/>
      </c>
      <c r="J9" s="5">
        <f>IF(I9="-","",COUNTIFS($H$5:$H$16,"&gt;"&amp;H9,$I$5:$I$16,"&lt;&gt;-")+COUNTIFS($H$5:$H$16,H9,$I$5:$I$16,"&lt;&gt;-",$A$5:$A$16,"&lt;"&amp;A9)+1)</f>
        <v/>
      </c>
    </row>
    <row r="10">
      <c r="A10" s="5" t="n">
        <v>6</v>
      </c>
      <c r="B10" s="6" t="inlineStr">
        <is>
          <t>Ib13654bb81</t>
        </is>
      </c>
      <c r="C10" s="5" t="inlineStr">
        <is>
          <t>-</t>
        </is>
      </c>
      <c r="D10" s="9">
        <f>'8_ALS'!G$134</f>
        <v/>
      </c>
      <c r="E10" s="9">
        <f>(D10-MIN($D$5:$D$16))/(MAX($D$5:$D$16)-MIN($D$5:$D$16))</f>
        <v/>
      </c>
      <c r="F10" s="9">
        <f>'7_CBF'!D10</f>
        <v/>
      </c>
      <c r="G10" s="9">
        <f>(F10-MIN($F$5:$F$16))/(MAX($F$5:$F$16)-MIN($F$5:$F$16))</f>
        <v/>
      </c>
      <c r="H10" s="9">
        <f>'1_Data'!$L$5*E10+'1_Data'!$L$6*G10</f>
        <v/>
      </c>
      <c r="I10" s="5">
        <f>IF(C10="Ya","-","ya")</f>
        <v/>
      </c>
      <c r="J10" s="5">
        <f>IF(I10="-","",COUNTIFS($H$5:$H$16,"&gt;"&amp;H10,$I$5:$I$16,"&lt;&gt;-")+COUNTIFS($H$5:$H$16,H10,$I$5:$I$16,"&lt;&gt;-",$A$5:$A$16,"&lt;"&amp;A10)+1)</f>
        <v/>
      </c>
    </row>
    <row r="11">
      <c r="A11" s="5" t="n">
        <v>7</v>
      </c>
      <c r="B11" s="6" t="inlineStr">
        <is>
          <t>I5259c70cfc</t>
        </is>
      </c>
      <c r="C11" s="5" t="inlineStr">
        <is>
          <t>-</t>
        </is>
      </c>
      <c r="D11" s="9">
        <f>'8_ALS'!H$134</f>
        <v/>
      </c>
      <c r="E11" s="9">
        <f>(D11-MIN($D$5:$D$16))/(MAX($D$5:$D$16)-MIN($D$5:$D$16))</f>
        <v/>
      </c>
      <c r="F11" s="9">
        <f>'7_CBF'!D11</f>
        <v/>
      </c>
      <c r="G11" s="9">
        <f>(F11-MIN($F$5:$F$16))/(MAX($F$5:$F$16)-MIN($F$5:$F$16))</f>
        <v/>
      </c>
      <c r="H11" s="9">
        <f>'1_Data'!$L$5*E11+'1_Data'!$L$6*G11</f>
        <v/>
      </c>
      <c r="I11" s="5">
        <f>IF(C11="Ya","-","ya")</f>
        <v/>
      </c>
      <c r="J11" s="5">
        <f>IF(I11="-","",COUNTIFS($H$5:$H$16,"&gt;"&amp;H11,$I$5:$I$16,"&lt;&gt;-")+COUNTIFS($H$5:$H$16,H11,$I$5:$I$16,"&lt;&gt;-",$A$5:$A$16,"&lt;"&amp;A11)+1)</f>
        <v/>
      </c>
    </row>
    <row r="12">
      <c r="A12" s="5" t="n">
        <v>8</v>
      </c>
      <c r="B12" s="6" t="inlineStr">
        <is>
          <t>I67dbbb2a6e</t>
        </is>
      </c>
      <c r="C12" s="5" t="inlineStr">
        <is>
          <t>-</t>
        </is>
      </c>
      <c r="D12" s="9">
        <f>'8_ALS'!I$134</f>
        <v/>
      </c>
      <c r="E12" s="9">
        <f>(D12-MIN($D$5:$D$16))/(MAX($D$5:$D$16)-MIN($D$5:$D$16))</f>
        <v/>
      </c>
      <c r="F12" s="9">
        <f>'7_CBF'!D12</f>
        <v/>
      </c>
      <c r="G12" s="9">
        <f>(F12-MIN($F$5:$F$16))/(MAX($F$5:$F$16)-MIN($F$5:$F$16))</f>
        <v/>
      </c>
      <c r="H12" s="9">
        <f>'1_Data'!$L$5*E12+'1_Data'!$L$6*G12</f>
        <v/>
      </c>
      <c r="I12" s="5">
        <f>IF(C12="Ya","-","ya")</f>
        <v/>
      </c>
      <c r="J12" s="5">
        <f>IF(I12="-","",COUNTIFS($H$5:$H$16,"&gt;"&amp;H12,$I$5:$I$16,"&lt;&gt;-")+COUNTIFS($H$5:$H$16,H12,$I$5:$I$16,"&lt;&gt;-",$A$5:$A$16,"&lt;"&amp;A12)+1)</f>
        <v/>
      </c>
    </row>
    <row r="13">
      <c r="A13" s="5" t="n">
        <v>9</v>
      </c>
      <c r="B13" s="6" t="inlineStr">
        <is>
          <t>I307e7d7249</t>
        </is>
      </c>
      <c r="C13" s="5" t="inlineStr">
        <is>
          <t>-</t>
        </is>
      </c>
      <c r="D13" s="9">
        <f>'8_ALS'!J$134</f>
        <v/>
      </c>
      <c r="E13" s="9">
        <f>(D13-MIN($D$5:$D$16))/(MAX($D$5:$D$16)-MIN($D$5:$D$16))</f>
        <v/>
      </c>
      <c r="F13" s="9">
        <f>'7_CBF'!D13</f>
        <v/>
      </c>
      <c r="G13" s="9">
        <f>(F13-MIN($F$5:$F$16))/(MAX($F$5:$F$16)-MIN($F$5:$F$16))</f>
        <v/>
      </c>
      <c r="H13" s="9">
        <f>'1_Data'!$L$5*E13+'1_Data'!$L$6*G13</f>
        <v/>
      </c>
      <c r="I13" s="5">
        <f>IF(C13="Ya","-","ya")</f>
        <v/>
      </c>
      <c r="J13" s="5">
        <f>IF(I13="-","",COUNTIFS($H$5:$H$16,"&gt;"&amp;H13,$I$5:$I$16,"&lt;&gt;-")+COUNTIFS($H$5:$H$16,H13,$I$5:$I$16,"&lt;&gt;-",$A$5:$A$16,"&lt;"&amp;A13)+1)</f>
        <v/>
      </c>
    </row>
    <row r="14">
      <c r="A14" s="5" t="n">
        <v>10</v>
      </c>
      <c r="B14" s="6" t="inlineStr">
        <is>
          <t>I99144f9b4e</t>
        </is>
      </c>
      <c r="C14" s="5" t="inlineStr">
        <is>
          <t>-</t>
        </is>
      </c>
      <c r="D14" s="9">
        <f>'8_ALS'!K$134</f>
        <v/>
      </c>
      <c r="E14" s="9">
        <f>(D14-MIN($D$5:$D$16))/(MAX($D$5:$D$16)-MIN($D$5:$D$16))</f>
        <v/>
      </c>
      <c r="F14" s="9">
        <f>'7_CBF'!D14</f>
        <v/>
      </c>
      <c r="G14" s="9">
        <f>(F14-MIN($F$5:$F$16))/(MAX($F$5:$F$16)-MIN($F$5:$F$16))</f>
        <v/>
      </c>
      <c r="H14" s="9">
        <f>'1_Data'!$L$5*E14+'1_Data'!$L$6*G14</f>
        <v/>
      </c>
      <c r="I14" s="5">
        <f>IF(C14="Ya","-","ya")</f>
        <v/>
      </c>
      <c r="J14" s="5">
        <f>IF(I14="-","",COUNTIFS($H$5:$H$16,"&gt;"&amp;H14,$I$5:$I$16,"&lt;&gt;-")+COUNTIFS($H$5:$H$16,H14,$I$5:$I$16,"&lt;&gt;-",$A$5:$A$16,"&lt;"&amp;A14)+1)</f>
        <v/>
      </c>
    </row>
    <row r="15">
      <c r="A15" s="5" t="n">
        <v>11</v>
      </c>
      <c r="B15" s="6" t="inlineStr">
        <is>
          <t>I01684f5bad</t>
        </is>
      </c>
      <c r="C15" s="5" t="inlineStr">
        <is>
          <t>-</t>
        </is>
      </c>
      <c r="D15" s="9">
        <f>'8_ALS'!L$134</f>
        <v/>
      </c>
      <c r="E15" s="9">
        <f>(D15-MIN($D$5:$D$16))/(MAX($D$5:$D$16)-MIN($D$5:$D$16))</f>
        <v/>
      </c>
      <c r="F15" s="9">
        <f>'7_CBF'!D15</f>
        <v/>
      </c>
      <c r="G15" s="9">
        <f>(F15-MIN($F$5:$F$16))/(MAX($F$5:$F$16)-MIN($F$5:$F$16))</f>
        <v/>
      </c>
      <c r="H15" s="9">
        <f>'1_Data'!$L$5*E15+'1_Data'!$L$6*G15</f>
        <v/>
      </c>
      <c r="I15" s="5">
        <f>IF(C15="Ya","-","ya")</f>
        <v/>
      </c>
      <c r="J15" s="5">
        <f>IF(I15="-","",COUNTIFS($H$5:$H$16,"&gt;"&amp;H15,$I$5:$I$16,"&lt;&gt;-")+COUNTIFS($H$5:$H$16,H15,$I$5:$I$16,"&lt;&gt;-",$A$5:$A$16,"&lt;"&amp;A15)+1)</f>
        <v/>
      </c>
    </row>
    <row r="16">
      <c r="A16" s="5" t="n">
        <v>12</v>
      </c>
      <c r="B16" s="6" t="inlineStr">
        <is>
          <t>I18ca3d0ae0</t>
        </is>
      </c>
      <c r="C16" s="5" t="inlineStr">
        <is>
          <t>-</t>
        </is>
      </c>
      <c r="D16" s="9">
        <f>'8_ALS'!M$134</f>
        <v/>
      </c>
      <c r="E16" s="9">
        <f>(D16-MIN($D$5:$D$16))/(MAX($D$5:$D$16)-MIN($D$5:$D$16))</f>
        <v/>
      </c>
      <c r="F16" s="9">
        <f>'7_CBF'!D16</f>
        <v/>
      </c>
      <c r="G16" s="9">
        <f>(F16-MIN($F$5:$F$16))/(MAX($F$5:$F$16)-MIN($F$5:$F$16))</f>
        <v/>
      </c>
      <c r="H16" s="9">
        <f>'1_Data'!$L$5*E16+'1_Data'!$L$6*G16</f>
        <v/>
      </c>
      <c r="I16" s="5">
        <f>IF(C16="Ya","-","ya")</f>
        <v/>
      </c>
      <c r="J16" s="5">
        <f>IF(I16="-","",COUNTIFS($H$5:$H$16,"&gt;"&amp;H16,$I$5:$I$16,"&lt;&gt;-")+COUNTIFS($H$5:$H$16,H16,$I$5:$I$16,"&lt;&gt;-",$A$5:$A$16,"&lt;"&amp;A16)+1)</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0" customWidth="1" min="1" max="1"/>
    <col width="16" customWidth="1" min="2" max="2"/>
    <col width="14" customWidth="1" min="3" max="3"/>
    <col width="12" customWidth="1" min="4" max="4"/>
    <col width="54" customWidth="1" min="5" max="5"/>
    <col width="10" customWidth="1" min="6" max="6"/>
    <col width="13" customWidth="1" min="7" max="7"/>
  </cols>
  <sheetData>
    <row r="1">
      <c r="A1" s="1" t="inlineStr">
        <is>
          <t>10 - Kartu yang dirender halaman Beranda</t>
        </is>
      </c>
    </row>
    <row r="2">
      <c r="A2" s="2" t="inlineStr">
        <is>
          <t>Sesuai keputusan D22 skor tidak pernah dirender. Kartu memuat kategori, judul, sumber, dan tanggal, urut mengikuti peringkat hybrid.</t>
        </is>
      </c>
    </row>
    <row r="4" ht="30" customHeight="1">
      <c r="A4" s="3" t="inlineStr">
        <is>
          <t>Slot</t>
        </is>
      </c>
      <c r="B4" s="3" t="inlineStr">
        <is>
          <t>Peringkat hybrid</t>
        </is>
      </c>
      <c r="C4" s="3" t="inlineStr">
        <is>
          <t>nid</t>
        </is>
      </c>
      <c r="D4" s="3" t="inlineStr">
        <is>
          <t>Kategori</t>
        </is>
      </c>
      <c r="E4" s="3" t="inlineStr">
        <is>
          <t>Judul</t>
        </is>
      </c>
      <c r="F4" s="3" t="inlineStr">
        <is>
          <t>Sumber</t>
        </is>
      </c>
      <c r="G4" s="3" t="inlineStr">
        <is>
          <t>Tanggal</t>
        </is>
      </c>
    </row>
    <row r="5">
      <c r="A5" s="5" t="inlineStr">
        <is>
          <t>kartu 1</t>
        </is>
      </c>
      <c r="B5" s="5" t="n">
        <v>1</v>
      </c>
      <c r="C5" s="6">
        <f>IFERROR(INDEX('9_Hybrid'!$B$5:$B$16,MATCH(B5,'9_Hybrid'!$J$5:$J$16,0)),"")</f>
        <v/>
      </c>
      <c r="D5" s="6">
        <f>IFERROR(INDEX('1_Data'!$D$5:$D$16,MATCH(B5,'9_Hybrid'!$J$5:$J$16,0)),"")</f>
        <v/>
      </c>
      <c r="E5" s="6">
        <f>IFERROR(INDEX('1_Data'!$C$5:$C$16,MATCH(B5,'9_Hybrid'!$J$5:$J$16,0)),"")</f>
        <v/>
      </c>
      <c r="F5" s="6">
        <f>IFERROR(INDEX('1_Data'!$E$5:$E$16,MATCH(B5,'9_Hybrid'!$J$5:$J$16,0)),"")</f>
        <v/>
      </c>
      <c r="G5" s="7">
        <f>IFERROR(INDEX('1_Data'!$F$5:$F$16,MATCH(B5,'9_Hybrid'!$J$5:$J$16,0)),"")</f>
        <v/>
      </c>
    </row>
    <row r="6">
      <c r="A6" s="5" t="inlineStr">
        <is>
          <t>kartu 2</t>
        </is>
      </c>
      <c r="B6" s="5" t="n">
        <v>2</v>
      </c>
      <c r="C6" s="6">
        <f>IFERROR(INDEX('9_Hybrid'!$B$5:$B$16,MATCH(B6,'9_Hybrid'!$J$5:$J$16,0)),"")</f>
        <v/>
      </c>
      <c r="D6" s="6">
        <f>IFERROR(INDEX('1_Data'!$D$5:$D$16,MATCH(B6,'9_Hybrid'!$J$5:$J$16,0)),"")</f>
        <v/>
      </c>
      <c r="E6" s="6">
        <f>IFERROR(INDEX('1_Data'!$C$5:$C$16,MATCH(B6,'9_Hybrid'!$J$5:$J$16,0)),"")</f>
        <v/>
      </c>
      <c r="F6" s="6">
        <f>IFERROR(INDEX('1_Data'!$E$5:$E$16,MATCH(B6,'9_Hybrid'!$J$5:$J$16,0)),"")</f>
        <v/>
      </c>
      <c r="G6" s="7">
        <f>IFERROR(INDEX('1_Data'!$F$5:$F$16,MATCH(B6,'9_Hybrid'!$J$5:$J$16,0)),"")</f>
        <v/>
      </c>
    </row>
    <row r="7">
      <c r="A7" s="5" t="inlineStr">
        <is>
          <t>kartu 3</t>
        </is>
      </c>
      <c r="B7" s="5" t="n">
        <v>3</v>
      </c>
      <c r="C7" s="6">
        <f>IFERROR(INDEX('9_Hybrid'!$B$5:$B$16,MATCH(B7,'9_Hybrid'!$J$5:$J$16,0)),"")</f>
        <v/>
      </c>
      <c r="D7" s="6">
        <f>IFERROR(INDEX('1_Data'!$D$5:$D$16,MATCH(B7,'9_Hybrid'!$J$5:$J$16,0)),"")</f>
        <v/>
      </c>
      <c r="E7" s="6">
        <f>IFERROR(INDEX('1_Data'!$C$5:$C$16,MATCH(B7,'9_Hybrid'!$J$5:$J$16,0)),"")</f>
        <v/>
      </c>
      <c r="F7" s="6">
        <f>IFERROR(INDEX('1_Data'!$E$5:$E$16,MATCH(B7,'9_Hybrid'!$J$5:$J$16,0)),"")</f>
        <v/>
      </c>
      <c r="G7" s="7">
        <f>IFERROR(INDEX('1_Data'!$F$5:$F$16,MATCH(B7,'9_Hybrid'!$J$5:$J$16,0)),"")</f>
        <v/>
      </c>
    </row>
    <row r="8">
      <c r="A8" s="5" t="inlineStr">
        <is>
          <t>kartu 4</t>
        </is>
      </c>
      <c r="B8" s="5" t="n">
        <v>4</v>
      </c>
      <c r="C8" s="6">
        <f>IFERROR(INDEX('9_Hybrid'!$B$5:$B$16,MATCH(B8,'9_Hybrid'!$J$5:$J$16,0)),"")</f>
        <v/>
      </c>
      <c r="D8" s="6">
        <f>IFERROR(INDEX('1_Data'!$D$5:$D$16,MATCH(B8,'9_Hybrid'!$J$5:$J$16,0)),"")</f>
        <v/>
      </c>
      <c r="E8" s="6">
        <f>IFERROR(INDEX('1_Data'!$C$5:$C$16,MATCH(B8,'9_Hybrid'!$J$5:$J$16,0)),"")</f>
        <v/>
      </c>
      <c r="F8" s="6">
        <f>IFERROR(INDEX('1_Data'!$E$5:$E$16,MATCH(B8,'9_Hybrid'!$J$5:$J$16,0)),"")</f>
        <v/>
      </c>
      <c r="G8" s="7">
        <f>IFERROR(INDEX('1_Data'!$F$5:$F$16,MATCH(B8,'9_Hybrid'!$J$5:$J$16,0)),"")</f>
        <v/>
      </c>
    </row>
    <row r="9">
      <c r="A9" s="5" t="inlineStr">
        <is>
          <t>kartu 5</t>
        </is>
      </c>
      <c r="B9" s="5" t="n">
        <v>5</v>
      </c>
      <c r="C9" s="6">
        <f>IFERROR(INDEX('9_Hybrid'!$B$5:$B$16,MATCH(B9,'9_Hybrid'!$J$5:$J$16,0)),"")</f>
        <v/>
      </c>
      <c r="D9" s="6">
        <f>IFERROR(INDEX('1_Data'!$D$5:$D$16,MATCH(B9,'9_Hybrid'!$J$5:$J$16,0)),"")</f>
        <v/>
      </c>
      <c r="E9" s="6">
        <f>IFERROR(INDEX('1_Data'!$C$5:$C$16,MATCH(B9,'9_Hybrid'!$J$5:$J$16,0)),"")</f>
        <v/>
      </c>
      <c r="F9" s="6">
        <f>IFERROR(INDEX('1_Data'!$E$5:$E$16,MATCH(B9,'9_Hybrid'!$J$5:$J$16,0)),"")</f>
        <v/>
      </c>
      <c r="G9" s="7">
        <f>IFERROR(INDEX('1_Data'!$F$5:$F$16,MATCH(B9,'9_Hybrid'!$J$5:$J$16,0)),"")</f>
        <v/>
      </c>
    </row>
    <row r="10">
      <c r="A10" s="5" t="inlineStr">
        <is>
          <t>kartu 6</t>
        </is>
      </c>
      <c r="B10" s="5" t="n">
        <v>6</v>
      </c>
      <c r="C10" s="6">
        <f>IFERROR(INDEX('9_Hybrid'!$B$5:$B$16,MATCH(B10,'9_Hybrid'!$J$5:$J$16,0)),"")</f>
        <v/>
      </c>
      <c r="D10" s="6">
        <f>IFERROR(INDEX('1_Data'!$D$5:$D$16,MATCH(B10,'9_Hybrid'!$J$5:$J$16,0)),"")</f>
        <v/>
      </c>
      <c r="E10" s="6">
        <f>IFERROR(INDEX('1_Data'!$C$5:$C$16,MATCH(B10,'9_Hybrid'!$J$5:$J$16,0)),"")</f>
        <v/>
      </c>
      <c r="F10" s="6">
        <f>IFERROR(INDEX('1_Data'!$E$5:$E$16,MATCH(B10,'9_Hybrid'!$J$5:$J$16,0)),"")</f>
        <v/>
      </c>
      <c r="G10" s="7">
        <f>IFERROR(INDEX('1_Data'!$F$5:$F$16,MATCH(B10,'9_Hybrid'!$J$5:$J$16,0)),"")</f>
        <v/>
      </c>
    </row>
    <row r="11">
      <c r="A11" s="5" t="inlineStr">
        <is>
          <t>kartu 7</t>
        </is>
      </c>
      <c r="B11" s="5" t="n">
        <v>7</v>
      </c>
      <c r="C11" s="6">
        <f>IFERROR(INDEX('9_Hybrid'!$B$5:$B$16,MATCH(B11,'9_Hybrid'!$J$5:$J$16,0)),"")</f>
        <v/>
      </c>
      <c r="D11" s="6">
        <f>IFERROR(INDEX('1_Data'!$D$5:$D$16,MATCH(B11,'9_Hybrid'!$J$5:$J$16,0)),"")</f>
        <v/>
      </c>
      <c r="E11" s="6">
        <f>IFERROR(INDEX('1_Data'!$C$5:$C$16,MATCH(B11,'9_Hybrid'!$J$5:$J$16,0)),"")</f>
        <v/>
      </c>
      <c r="F11" s="6">
        <f>IFERROR(INDEX('1_Data'!$E$5:$E$16,MATCH(B11,'9_Hybrid'!$J$5:$J$16,0)),"")</f>
        <v/>
      </c>
      <c r="G11" s="7">
        <f>IFERROR(INDEX('1_Data'!$F$5:$F$16,MATCH(B11,'9_Hybrid'!$J$5:$J$16,0)),"")</f>
        <v/>
      </c>
    </row>
    <row r="12">
      <c r="A12" s="5" t="inlineStr">
        <is>
          <t>kartu 8</t>
        </is>
      </c>
      <c r="B12" s="5" t="n">
        <v>8</v>
      </c>
      <c r="C12" s="6">
        <f>IFERROR(INDEX('9_Hybrid'!$B$5:$B$16,MATCH(B12,'9_Hybrid'!$J$5:$J$16,0)),"")</f>
        <v/>
      </c>
      <c r="D12" s="6">
        <f>IFERROR(INDEX('1_Data'!$D$5:$D$16,MATCH(B12,'9_Hybrid'!$J$5:$J$16,0)),"")</f>
        <v/>
      </c>
      <c r="E12" s="6">
        <f>IFERROR(INDEX('1_Data'!$C$5:$C$16,MATCH(B12,'9_Hybrid'!$J$5:$J$16,0)),"")</f>
        <v/>
      </c>
      <c r="F12" s="6">
        <f>IFERROR(INDEX('1_Data'!$E$5:$E$16,MATCH(B12,'9_Hybrid'!$J$5:$J$16,0)),"")</f>
        <v/>
      </c>
      <c r="G12" s="7">
        <f>IFERROR(INDEX('1_Data'!$F$5:$F$16,MATCH(B12,'9_Hybrid'!$J$5:$J$16,0)),"")</f>
        <v/>
      </c>
    </row>
    <row r="13">
      <c r="A13" s="5" t="inlineStr">
        <is>
          <t>kartu 9</t>
        </is>
      </c>
      <c r="B13" s="5" t="n">
        <v>9</v>
      </c>
      <c r="C13" s="6">
        <f>IFERROR(INDEX('9_Hybrid'!$B$5:$B$16,MATCH(B13,'9_Hybrid'!$J$5:$J$16,0)),"")</f>
        <v/>
      </c>
      <c r="D13" s="6">
        <f>IFERROR(INDEX('1_Data'!$D$5:$D$16,MATCH(B13,'9_Hybrid'!$J$5:$J$16,0)),"")</f>
        <v/>
      </c>
      <c r="E13" s="6">
        <f>IFERROR(INDEX('1_Data'!$C$5:$C$16,MATCH(B13,'9_Hybrid'!$J$5:$J$16,0)),"")</f>
        <v/>
      </c>
      <c r="F13" s="6">
        <f>IFERROR(INDEX('1_Data'!$E$5:$E$16,MATCH(B13,'9_Hybrid'!$J$5:$J$16,0)),"")</f>
        <v/>
      </c>
      <c r="G13" s="7">
        <f>IFERROR(INDEX('1_Data'!$F$5:$F$16,MATCH(B13,'9_Hybrid'!$J$5:$J$16,0)),"")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2" customWidth="1" min="1" max="1"/>
    <col width="14" customWidth="1" min="2" max="2"/>
    <col width="13" customWidth="1" min="3" max="3"/>
    <col width="13" customWidth="1" min="4" max="4"/>
    <col width="13" customWidth="1" min="5" max="5"/>
    <col width="12" customWidth="1" min="6" max="6"/>
    <col width="11" customWidth="1" min="7" max="7"/>
    <col width="7" customWidth="1" min="8" max="8"/>
  </cols>
  <sheetData>
    <row r="1">
      <c r="A1" s="1" t="inlineStr">
        <is>
          <t>11 - Evaluasi Top-K (skenario dummy, K = 5)</t>
        </is>
      </c>
    </row>
    <row r="2">
      <c r="A2" s="2" t="inlineStr">
        <is>
          <t>Ruang evaluasi = artikel non-sesi. Relevan = 2 artikel bertanda 'Ya' di 1_Data kolom I. NDCG@K, AP@K, Recall@K dihitung dengan rumus mengikuti src/phase2/evaluate.py.</t>
        </is>
      </c>
    </row>
    <row r="4" ht="30" customHeight="1">
      <c r="A4" s="3" t="inlineStr">
        <is>
          <t>Peringkat</t>
        </is>
      </c>
      <c r="B4" s="3" t="inlineStr">
        <is>
          <t>nid</t>
        </is>
      </c>
      <c r="C4" s="3" t="inlineStr">
        <is>
          <t>Relevan (1/0)</t>
        </is>
      </c>
      <c r="D4" s="3" t="inlineStr">
        <is>
          <t>1/log2(p+1)</t>
        </is>
      </c>
      <c r="E4" s="3" t="inlineStr">
        <is>
          <t>gain x diskon</t>
        </is>
      </c>
      <c r="F4" s="3" t="inlineStr">
        <is>
          <t>Precision@p</t>
        </is>
      </c>
      <c r="G4" s="3" t="inlineStr">
        <is>
          <t>AP term</t>
        </is>
      </c>
      <c r="H4" s="3" t="inlineStr">
        <is>
          <t>Hit</t>
        </is>
      </c>
    </row>
    <row r="5">
      <c r="A5" s="5" t="n">
        <v>1</v>
      </c>
      <c r="B5" s="6">
        <f>IFERROR(INDEX('9_Hybrid'!$B$5:$B$16,MATCH(A5,'9_Hybrid'!$J$5:$J$16,0)),"")</f>
        <v/>
      </c>
      <c r="C5" s="12">
        <f>IF(B5="",0,IF(IFERROR(INDEX('1_Data'!$I$5:$I$16,MATCH(B5,'1_Data'!$B$5:$B$16,0)),"-")="Ya",1,0))</f>
        <v/>
      </c>
      <c r="D5" s="9">
        <f>LN(2)/LN(A5+1)</f>
        <v/>
      </c>
      <c r="E5" s="9">
        <f>C5*D5</f>
        <v/>
      </c>
      <c r="F5" s="9">
        <f>IF(C5=1,SUM($C$5:C5)/A5,0)</f>
        <v/>
      </c>
      <c r="G5" s="9">
        <f>F5*C5</f>
        <v/>
      </c>
      <c r="H5" s="12">
        <f>C5</f>
        <v/>
      </c>
    </row>
    <row r="6">
      <c r="A6" s="5" t="n">
        <v>2</v>
      </c>
      <c r="B6" s="6">
        <f>IFERROR(INDEX('9_Hybrid'!$B$5:$B$16,MATCH(A6,'9_Hybrid'!$J$5:$J$16,0)),"")</f>
        <v/>
      </c>
      <c r="C6" s="12">
        <f>IF(B6="",0,IF(IFERROR(INDEX('1_Data'!$I$5:$I$16,MATCH(B6,'1_Data'!$B$5:$B$16,0)),"-")="Ya",1,0))</f>
        <v/>
      </c>
      <c r="D6" s="9">
        <f>LN(2)/LN(A6+1)</f>
        <v/>
      </c>
      <c r="E6" s="9">
        <f>C6*D6</f>
        <v/>
      </c>
      <c r="F6" s="9">
        <f>IF(C6=1,SUM($C$5:C6)/A6,0)</f>
        <v/>
      </c>
      <c r="G6" s="9">
        <f>F6*C6</f>
        <v/>
      </c>
      <c r="H6" s="12">
        <f>C6</f>
        <v/>
      </c>
    </row>
    <row r="7">
      <c r="A7" s="5" t="n">
        <v>3</v>
      </c>
      <c r="B7" s="6">
        <f>IFERROR(INDEX('9_Hybrid'!$B$5:$B$16,MATCH(A7,'9_Hybrid'!$J$5:$J$16,0)),"")</f>
        <v/>
      </c>
      <c r="C7" s="12">
        <f>IF(B7="",0,IF(IFERROR(INDEX('1_Data'!$I$5:$I$16,MATCH(B7,'1_Data'!$B$5:$B$16,0)),"-")="Ya",1,0))</f>
        <v/>
      </c>
      <c r="D7" s="9">
        <f>LN(2)/LN(A7+1)</f>
        <v/>
      </c>
      <c r="E7" s="9">
        <f>C7*D7</f>
        <v/>
      </c>
      <c r="F7" s="9">
        <f>IF(C7=1,SUM($C$5:C7)/A7,0)</f>
        <v/>
      </c>
      <c r="G7" s="9">
        <f>F7*C7</f>
        <v/>
      </c>
      <c r="H7" s="12">
        <f>C7</f>
        <v/>
      </c>
    </row>
    <row r="8">
      <c r="A8" s="5" t="n">
        <v>4</v>
      </c>
      <c r="B8" s="6">
        <f>IFERROR(INDEX('9_Hybrid'!$B$5:$B$16,MATCH(A8,'9_Hybrid'!$J$5:$J$16,0)),"")</f>
        <v/>
      </c>
      <c r="C8" s="12">
        <f>IF(B8="",0,IF(IFERROR(INDEX('1_Data'!$I$5:$I$16,MATCH(B8,'1_Data'!$B$5:$B$16,0)),"-")="Ya",1,0))</f>
        <v/>
      </c>
      <c r="D8" s="9">
        <f>LN(2)/LN(A8+1)</f>
        <v/>
      </c>
      <c r="E8" s="9">
        <f>C8*D8</f>
        <v/>
      </c>
      <c r="F8" s="9">
        <f>IF(C8=1,SUM($C$5:C8)/A8,0)</f>
        <v/>
      </c>
      <c r="G8" s="9">
        <f>F8*C8</f>
        <v/>
      </c>
      <c r="H8" s="12">
        <f>C8</f>
        <v/>
      </c>
    </row>
    <row r="9">
      <c r="A9" s="5" t="n">
        <v>5</v>
      </c>
      <c r="B9" s="6">
        <f>IFERROR(INDEX('9_Hybrid'!$B$5:$B$16,MATCH(A9,'9_Hybrid'!$J$5:$J$16,0)),"")</f>
        <v/>
      </c>
      <c r="C9" s="12">
        <f>IF(B9="",0,IF(IFERROR(INDEX('1_Data'!$I$5:$I$16,MATCH(B9,'1_Data'!$B$5:$B$16,0)),"-")="Ya",1,0))</f>
        <v/>
      </c>
      <c r="D9" s="9">
        <f>LN(2)/LN(A9+1)</f>
        <v/>
      </c>
      <c r="E9" s="9">
        <f>C9*D9</f>
        <v/>
      </c>
      <c r="F9" s="9">
        <f>IF(C9=1,SUM($C$5:C9)/A9,0)</f>
        <v/>
      </c>
      <c r="G9" s="9">
        <f>F9*C9</f>
        <v/>
      </c>
      <c r="H9" s="12">
        <f>C9</f>
        <v/>
      </c>
    </row>
    <row r="10">
      <c r="A10" s="5" t="n">
        <v>6</v>
      </c>
      <c r="B10" s="6">
        <f>IFERROR(INDEX('9_Hybrid'!$B$5:$B$16,MATCH(A10,'9_Hybrid'!$J$5:$J$16,0)),"")</f>
        <v/>
      </c>
      <c r="C10" s="12">
        <f>IF(B10="",0,IF(IFERROR(INDEX('1_Data'!$I$5:$I$16,MATCH(B10,'1_Data'!$B$5:$B$16,0)),"-")="Ya",1,0))</f>
        <v/>
      </c>
      <c r="D10" s="9">
        <f>LN(2)/LN(A10+1)</f>
        <v/>
      </c>
      <c r="E10" s="9">
        <f>C10*D10</f>
        <v/>
      </c>
      <c r="F10" s="9">
        <f>IF(C10=1,SUM($C$5:C10)/A10,0)</f>
        <v/>
      </c>
      <c r="G10" s="9">
        <f>F10*C10</f>
        <v/>
      </c>
      <c r="H10" s="12">
        <f>C10</f>
        <v/>
      </c>
    </row>
    <row r="11">
      <c r="A11" s="5" t="n">
        <v>7</v>
      </c>
      <c r="B11" s="6">
        <f>IFERROR(INDEX('9_Hybrid'!$B$5:$B$16,MATCH(A11,'9_Hybrid'!$J$5:$J$16,0)),"")</f>
        <v/>
      </c>
      <c r="C11" s="12">
        <f>IF(B11="",0,IF(IFERROR(INDEX('1_Data'!$I$5:$I$16,MATCH(B11,'1_Data'!$B$5:$B$16,0)),"-")="Ya",1,0))</f>
        <v/>
      </c>
      <c r="D11" s="9">
        <f>LN(2)/LN(A11+1)</f>
        <v/>
      </c>
      <c r="E11" s="9">
        <f>C11*D11</f>
        <v/>
      </c>
      <c r="F11" s="9">
        <f>IF(C11=1,SUM($C$5:C11)/A11,0)</f>
        <v/>
      </c>
      <c r="G11" s="9">
        <f>F11*C11</f>
        <v/>
      </c>
      <c r="H11" s="12">
        <f>C11</f>
        <v/>
      </c>
    </row>
    <row r="12">
      <c r="A12" s="5" t="n">
        <v>8</v>
      </c>
      <c r="B12" s="6">
        <f>IFERROR(INDEX('9_Hybrid'!$B$5:$B$16,MATCH(A12,'9_Hybrid'!$J$5:$J$16,0)),"")</f>
        <v/>
      </c>
      <c r="C12" s="12">
        <f>IF(B12="",0,IF(IFERROR(INDEX('1_Data'!$I$5:$I$16,MATCH(B12,'1_Data'!$B$5:$B$16,0)),"-")="Ya",1,0))</f>
        <v/>
      </c>
      <c r="D12" s="9">
        <f>LN(2)/LN(A12+1)</f>
        <v/>
      </c>
      <c r="E12" s="9">
        <f>C12*D12</f>
        <v/>
      </c>
      <c r="F12" s="9">
        <f>IF(C12=1,SUM($C$5:C12)/A12,0)</f>
        <v/>
      </c>
      <c r="G12" s="9">
        <f>F12*C12</f>
        <v/>
      </c>
      <c r="H12" s="12">
        <f>C12</f>
        <v/>
      </c>
    </row>
    <row r="13">
      <c r="A13" s="5" t="n">
        <v>9</v>
      </c>
      <c r="B13" s="6">
        <f>IFERROR(INDEX('9_Hybrid'!$B$5:$B$16,MATCH(A13,'9_Hybrid'!$J$5:$J$16,0)),"")</f>
        <v/>
      </c>
      <c r="C13" s="12">
        <f>IF(B13="",0,IF(IFERROR(INDEX('1_Data'!$I$5:$I$16,MATCH(B13,'1_Data'!$B$5:$B$16,0)),"-")="Ya",1,0))</f>
        <v/>
      </c>
      <c r="D13" s="9">
        <f>LN(2)/LN(A13+1)</f>
        <v/>
      </c>
      <c r="E13" s="9">
        <f>C13*D13</f>
        <v/>
      </c>
      <c r="F13" s="9">
        <f>IF(C13=1,SUM($C$5:C13)/A13,0)</f>
        <v/>
      </c>
      <c r="G13" s="9">
        <f>F13*C13</f>
        <v/>
      </c>
      <c r="H13" s="12">
        <f>C13</f>
        <v/>
      </c>
    </row>
    <row r="14">
      <c r="A14" s="4" t="inlineStr">
        <is>
          <t>Total sampai K</t>
        </is>
      </c>
      <c r="C14" s="12">
        <f>SUM($C$5:INDEX($C$5:$C$13,'1_Data'!$L$11))</f>
        <v/>
      </c>
      <c r="E14" s="9">
        <f>SUM($E$5:INDEX($E$5:$E$13,'1_Data'!$L$11))</f>
        <v/>
      </c>
      <c r="G14" s="9">
        <f>SUM($G$5:INDEX($G$5:$G$13,'1_Data'!$L$11))</f>
        <v/>
      </c>
      <c r="H14" s="12">
        <f>SUM($H$5:INDEX($H$5:$H$13,'1_Data'!$L$11))</f>
        <v/>
      </c>
    </row>
    <row r="15">
      <c r="A15" s="4" t="inlineStr">
        <is>
          <t>Jumlah artikel relevan</t>
        </is>
      </c>
      <c r="C15" s="12">
        <f>COUNTIF('1_Data'!$I$5:$I$16,"Ya")</f>
        <v/>
      </c>
    </row>
    <row r="17" ht="30" customHeight="1">
      <c r="A17" s="3" t="inlineStr">
        <is>
          <t>Metrik</t>
        </is>
      </c>
      <c r="B17" s="3" t="inlineStr">
        <is>
          <t>Nilai</t>
        </is>
      </c>
      <c r="C17" s="3" t="inlineStr">
        <is>
          <t>Cara hitung</t>
        </is>
      </c>
    </row>
    <row r="18">
      <c r="A18" s="4" t="inlineStr">
        <is>
          <t>NDCG@K</t>
        </is>
      </c>
      <c r="B18" s="9">
        <f>E14/SUM($D$5:INDEX($D$5:$D$13,MIN($C$15,'1_Data'!$L$11)))</f>
        <v/>
      </c>
      <c r="C18" s="5" t="inlineStr">
        <is>
          <t>DCG / IDCG, ideal = min(jumlah relevan, K)</t>
        </is>
      </c>
    </row>
    <row r="19">
      <c r="A19" s="4" t="inlineStr">
        <is>
          <t>AP@K</t>
        </is>
      </c>
      <c r="B19" s="9">
        <f>G14/MIN($C$15,'1_Data'!$L$11)</f>
        <v/>
      </c>
      <c r="C19" s="5" t="inlineStr">
        <is>
          <t>rata-rata precision pada posisi relevan, dibagi min(relevan, K)</t>
        </is>
      </c>
    </row>
    <row r="20">
      <c r="A20" s="4" t="inlineStr">
        <is>
          <t>MAP@K</t>
        </is>
      </c>
      <c r="B20" s="9">
        <f>G14/MIN($C$15,'1_Data'!$L$11)</f>
        <v/>
      </c>
      <c r="C20" s="5" t="inlineStr">
        <is>
          <t>sama dengan AP@K pada satu daftar peringkat (alias)</t>
        </is>
      </c>
    </row>
    <row r="21">
      <c r="A21" s="4" t="inlineStr">
        <is>
          <t>Precision@K</t>
        </is>
      </c>
      <c r="B21" s="9">
        <f>H14/'1_Data'!$L$11</f>
        <v/>
      </c>
      <c r="C21" s="5" t="inlineStr">
        <is>
          <t>hit dalam K / K</t>
        </is>
      </c>
    </row>
    <row r="22">
      <c r="A22" s="4" t="inlineStr">
        <is>
          <t>Recall@K</t>
        </is>
      </c>
      <c r="B22" s="9">
        <f>H14/$C$15</f>
        <v/>
      </c>
      <c r="C22" s="5" t="inlineStr">
        <is>
          <t>hit relevan dalam K / total relevan</t>
        </is>
      </c>
    </row>
    <row r="23">
      <c r="A23" s="4" t="inlineStr">
        <is>
          <t>F1@K</t>
        </is>
      </c>
      <c r="B23" s="9">
        <f>IFERROR(2*(H14/'1_Data'!$L$11)*(H14/$C$15)/((H14/'1_Data'!$L$11)+(H14/$C$15)),0)</f>
        <v/>
      </c>
      <c r="C23" s="5" t="inlineStr">
        <is>
          <t>harmonik Precision@K dan Recall@K (0 bila tak ada hit)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65"/>
  <sheetViews>
    <sheetView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12 - Pengecekan angka evaluasi naskah</t>
        </is>
      </c>
    </row>
    <row r="2">
      <c r="A2" s="2" t="inlineStr">
        <is>
          <t>Nilai per titik (biru) dibaca dari models/indo_eval.json. Rata-rata, min, maks dihitung rumus; kolom 'dilaporkan' = mean di metric_comparison.json; kolom selisih harus 0.</t>
        </is>
      </c>
    </row>
    <row r="4">
      <c r="A4" s="13" t="inlineStr">
        <is>
          <t>NDCG@10</t>
        </is>
      </c>
    </row>
    <row r="5" ht="18" customHeight="1">
      <c r="A5" s="3" t="inlineStr">
        <is>
          <t>Sistem</t>
        </is>
      </c>
      <c r="B5" s="3" t="inlineStr">
        <is>
          <t>titik 1</t>
        </is>
      </c>
      <c r="C5" s="3" t="inlineStr">
        <is>
          <t>titik 2</t>
        </is>
      </c>
      <c r="D5" s="3" t="inlineStr">
        <is>
          <t>titik 3</t>
        </is>
      </c>
      <c r="E5" s="3" t="inlineStr">
        <is>
          <t>titik 4</t>
        </is>
      </c>
      <c r="F5" s="3" t="inlineStr">
        <is>
          <t>titik 5</t>
        </is>
      </c>
      <c r="G5" s="3" t="inlineStr">
        <is>
          <t>titik 6</t>
        </is>
      </c>
      <c r="H5" s="3" t="inlineStr">
        <is>
          <t>titik 7</t>
        </is>
      </c>
      <c r="I5" s="3" t="inlineStr">
        <is>
          <t>titik 8</t>
        </is>
      </c>
      <c r="J5" s="3" t="inlineStr">
        <is>
          <t>titik 9</t>
        </is>
      </c>
      <c r="K5" s="3" t="inlineStr">
        <is>
          <t>Rata-rata</t>
        </is>
      </c>
      <c r="L5" s="3" t="inlineStr">
        <is>
          <t>Min</t>
        </is>
      </c>
      <c r="M5" s="3" t="inlineStr">
        <is>
          <t>Maks</t>
        </is>
      </c>
      <c r="N5" s="3" t="inlineStr">
        <is>
          <t>Dilaporkan</t>
        </is>
      </c>
      <c r="O5" s="3" t="inlineStr">
        <is>
          <t>Selisih</t>
        </is>
      </c>
      <c r="P5" s="3" t="inlineStr">
        <is>
          <t>Cocok?</t>
        </is>
      </c>
    </row>
    <row r="6">
      <c r="A6" s="4" t="inlineStr">
        <is>
          <t>Popularity</t>
        </is>
      </c>
      <c r="B6" s="14" t="n">
        <v>0.0168159866401394</v>
      </c>
      <c r="C6" s="14" t="n">
        <v>0.008692559950183082</v>
      </c>
      <c r="D6" s="14" t="n">
        <v>0.005891280765638916</v>
      </c>
      <c r="E6" s="14" t="n">
        <v>0.0140353586714233</v>
      </c>
      <c r="F6" s="14" t="n">
        <v>0.01039221774641442</v>
      </c>
      <c r="G6" s="14" t="n">
        <v>0.009566853822219595</v>
      </c>
      <c r="H6" s="14" t="n">
        <v>0.01528824177903553</v>
      </c>
      <c r="I6" s="14" t="n">
        <v>0.009189909019661288</v>
      </c>
      <c r="J6" s="14" t="n">
        <v>0.005478957546493263</v>
      </c>
      <c r="K6" s="15">
        <f>AVERAGE(B6:J6)</f>
        <v/>
      </c>
      <c r="L6" s="15">
        <f>MIN(B6:J6)</f>
        <v/>
      </c>
      <c r="M6" s="15">
        <f>MAX(B6:J6)</f>
        <v/>
      </c>
      <c r="N6" s="14" t="n">
        <v>0.0105945962</v>
      </c>
      <c r="O6" s="15">
        <f>K6-N6</f>
        <v/>
      </c>
      <c r="P6" s="5">
        <f>IF(ABS(O6)&lt;0.0000005,"cocok","periksa")</f>
        <v/>
      </c>
    </row>
    <row r="7">
      <c r="A7" s="4" t="inlineStr">
        <is>
          <t>CBF (TF-IDF)</t>
        </is>
      </c>
      <c r="B7" s="14" t="n">
        <v>0.001333979189127553</v>
      </c>
      <c r="C7" s="14" t="n">
        <v>0.001834361192278726</v>
      </c>
      <c r="D7" s="14" t="n">
        <v>0.001125992137160904</v>
      </c>
      <c r="E7" s="14" t="n">
        <v>0.001173709716918924</v>
      </c>
      <c r="F7" s="14" t="n">
        <v>0.001390179329889365</v>
      </c>
      <c r="G7" s="14" t="n">
        <v>0.000898613519986932</v>
      </c>
      <c r="H7" s="14" t="n">
        <v>0.0006793331656674164</v>
      </c>
      <c r="I7" s="14" t="n">
        <v>0.0007635267042995513</v>
      </c>
      <c r="J7" s="14" t="n">
        <v>0.0008107857504166117</v>
      </c>
      <c r="K7" s="15">
        <f>AVERAGE(B7:J7)</f>
        <v/>
      </c>
      <c r="L7" s="15">
        <f>MIN(B7:J7)</f>
        <v/>
      </c>
      <c r="M7" s="15">
        <f>MAX(B7:J7)</f>
        <v/>
      </c>
      <c r="N7" s="14" t="n">
        <v>0.0011122756</v>
      </c>
      <c r="O7" s="15">
        <f>K7-N7</f>
        <v/>
      </c>
      <c r="P7" s="5">
        <f>IF(ABS(O7)&lt;0.0000005,"cocok","periksa")</f>
        <v/>
      </c>
    </row>
    <row r="8">
      <c r="A8" s="4" t="inlineStr">
        <is>
          <t>ALS (CF)</t>
        </is>
      </c>
      <c r="B8" s="14" t="n">
        <v>0.007856460587958965</v>
      </c>
      <c r="C8" s="14" t="n">
        <v>0.004644143422378956</v>
      </c>
      <c r="D8" s="14" t="n">
        <v>0.004160532045752963</v>
      </c>
      <c r="E8" s="14" t="n">
        <v>0.007384982362836706</v>
      </c>
      <c r="F8" s="14" t="n">
        <v>0.005293535655597505</v>
      </c>
      <c r="G8" s="14" t="n">
        <v>0.003950127713739362</v>
      </c>
      <c r="H8" s="14" t="n">
        <v>0.008288725873973153</v>
      </c>
      <c r="I8" s="14" t="n">
        <v>0.006524139945265939</v>
      </c>
      <c r="J8" s="14" t="n">
        <v>0.00369395624237657</v>
      </c>
      <c r="K8" s="15">
        <f>AVERAGE(B8:J8)</f>
        <v/>
      </c>
      <c r="L8" s="15">
        <f>MIN(B8:J8)</f>
        <v/>
      </c>
      <c r="M8" s="15">
        <f>MAX(B8:J8)</f>
        <v/>
      </c>
      <c r="N8" s="14" t="n">
        <v>0.0057551782</v>
      </c>
      <c r="O8" s="15">
        <f>K8-N8</f>
        <v/>
      </c>
      <c r="P8" s="5">
        <f>IF(ABS(O8)&lt;0.0000005,"cocok","periksa")</f>
        <v/>
      </c>
    </row>
    <row r="9">
      <c r="A9" s="4" t="inlineStr">
        <is>
          <t>Hybrid alpha 0,2</t>
        </is>
      </c>
      <c r="B9" s="14" t="n">
        <v>0.003012149021378966</v>
      </c>
      <c r="C9" s="14" t="n">
        <v>0.002508624094466356</v>
      </c>
      <c r="D9" s="14" t="n">
        <v>0.001583230422910122</v>
      </c>
      <c r="E9" s="14" t="n">
        <v>0.002520537099553163</v>
      </c>
      <c r="F9" s="14" t="n">
        <v>0.003418801214307464</v>
      </c>
      <c r="G9" s="14" t="n">
        <v>0.001642808760624634</v>
      </c>
      <c r="H9" s="14" t="n">
        <v>0.001334797165077927</v>
      </c>
      <c r="I9" s="14" t="n">
        <v>0.002595907596753572</v>
      </c>
      <c r="J9" s="14" t="n">
        <v>0.0009336870788008645</v>
      </c>
      <c r="K9" s="15">
        <f>AVERAGE(B9:J9)</f>
        <v/>
      </c>
      <c r="L9" s="15">
        <f>MIN(B9:J9)</f>
        <v/>
      </c>
      <c r="M9" s="15">
        <f>MAX(B9:J9)</f>
        <v/>
      </c>
      <c r="N9" s="14" t="n">
        <v>0.0021722825</v>
      </c>
      <c r="O9" s="15">
        <f>K9-N9</f>
        <v/>
      </c>
      <c r="P9" s="5">
        <f>IF(ABS(O9)&lt;0.0000005,"cocok","periksa")</f>
        <v/>
      </c>
    </row>
    <row r="10">
      <c r="A10" s="4" t="inlineStr">
        <is>
          <t>Hybrid alpha 0,4</t>
        </is>
      </c>
      <c r="B10" s="14" t="n">
        <v>0.004086375918070232</v>
      </c>
      <c r="C10" s="14" t="n">
        <v>0.002102554017577744</v>
      </c>
      <c r="D10" s="14" t="n">
        <v>0.001812926946197904</v>
      </c>
      <c r="E10" s="14" t="n">
        <v>0.003182205081729929</v>
      </c>
      <c r="F10" s="14" t="n">
        <v>0.003861262201245035</v>
      </c>
      <c r="G10" s="14" t="n">
        <v>0.001618980595151126</v>
      </c>
      <c r="H10" s="14" t="n">
        <v>0.001792961431120673</v>
      </c>
      <c r="I10" s="14" t="n">
        <v>0.003281700067998882</v>
      </c>
      <c r="J10" s="14" t="n">
        <v>0.00128534137565214</v>
      </c>
      <c r="K10" s="15">
        <f>AVERAGE(B10:J10)</f>
        <v/>
      </c>
      <c r="L10" s="15">
        <f>MIN(B10:J10)</f>
        <v/>
      </c>
      <c r="M10" s="15">
        <f>MAX(B10:J10)</f>
        <v/>
      </c>
      <c r="N10" s="14" t="n">
        <v>0.0025582564</v>
      </c>
      <c r="O10" s="15">
        <f>K10-N10</f>
        <v/>
      </c>
      <c r="P10" s="5">
        <f>IF(ABS(O10)&lt;0.0000005,"cocok","periksa")</f>
        <v/>
      </c>
    </row>
    <row r="11">
      <c r="A11" s="4" t="inlineStr">
        <is>
          <t>Hybrid alpha 0,6</t>
        </is>
      </c>
      <c r="B11" s="14" t="n">
        <v>0.004246997807102071</v>
      </c>
      <c r="C11" s="14" t="n">
        <v>0.002187548525369244</v>
      </c>
      <c r="D11" s="14" t="n">
        <v>0.002042365129505143</v>
      </c>
      <c r="E11" s="14" t="n">
        <v>0.00319529494651635</v>
      </c>
      <c r="F11" s="14" t="n">
        <v>0.003791245185925599</v>
      </c>
      <c r="G11" s="14" t="n">
        <v>0.001640150810174572</v>
      </c>
      <c r="H11" s="14" t="n">
        <v>0.002024559515809348</v>
      </c>
      <c r="I11" s="14" t="n">
        <v>0.003827893989073759</v>
      </c>
      <c r="J11" s="14" t="n">
        <v>0.001610033792215063</v>
      </c>
      <c r="K11" s="15">
        <f>AVERAGE(B11:J11)</f>
        <v/>
      </c>
      <c r="L11" s="15">
        <f>MIN(B11:J11)</f>
        <v/>
      </c>
      <c r="M11" s="15">
        <f>MAX(B11:J11)</f>
        <v/>
      </c>
      <c r="N11" s="14" t="n">
        <v>0.0027295655</v>
      </c>
      <c r="O11" s="15">
        <f>K11-N11</f>
        <v/>
      </c>
      <c r="P11" s="5">
        <f>IF(ABS(O11)&lt;0.0000005,"cocok","periksa")</f>
        <v/>
      </c>
    </row>
    <row r="12">
      <c r="A12" s="4" t="inlineStr">
        <is>
          <t>Hybrid alpha 0,8 (dilayani)</t>
        </is>
      </c>
      <c r="B12" s="14" t="n">
        <v>0.004729563394340643</v>
      </c>
      <c r="C12" s="14" t="n">
        <v>0.002418612893890706</v>
      </c>
      <c r="D12" s="14" t="n">
        <v>0.002394816236659677</v>
      </c>
      <c r="E12" s="14" t="n">
        <v>0.003694677226544792</v>
      </c>
      <c r="F12" s="14" t="n">
        <v>0.004165159222956698</v>
      </c>
      <c r="G12" s="14" t="n">
        <v>0.001793636483319453</v>
      </c>
      <c r="H12" s="14" t="n">
        <v>0.002226884410591563</v>
      </c>
      <c r="I12" s="14" t="n">
        <v>0.003759660287289618</v>
      </c>
      <c r="J12" s="14" t="n">
        <v>0.001590221647566155</v>
      </c>
      <c r="K12" s="15">
        <f>AVERAGE(B12:J12)</f>
        <v/>
      </c>
      <c r="L12" s="15">
        <f>MIN(B12:J12)</f>
        <v/>
      </c>
      <c r="M12" s="15">
        <f>MAX(B12:J12)</f>
        <v/>
      </c>
      <c r="N12" s="14" t="n">
        <v>0.0029748035</v>
      </c>
      <c r="O12" s="15">
        <f>K12-N12</f>
        <v/>
      </c>
      <c r="P12" s="5">
        <f>IF(ABS(O12)&lt;0.0000005,"cocok","periksa")</f>
        <v/>
      </c>
    </row>
    <row r="14">
      <c r="A14" s="13" t="inlineStr">
        <is>
          <t>AP@10</t>
        </is>
      </c>
    </row>
    <row r="15" ht="18" customHeight="1">
      <c r="A15" s="3" t="inlineStr">
        <is>
          <t>Sistem</t>
        </is>
      </c>
      <c r="B15" s="3" t="inlineStr">
        <is>
          <t>titik 1</t>
        </is>
      </c>
      <c r="C15" s="3" t="inlineStr">
        <is>
          <t>titik 2</t>
        </is>
      </c>
      <c r="D15" s="3" t="inlineStr">
        <is>
          <t>titik 3</t>
        </is>
      </c>
      <c r="E15" s="3" t="inlineStr">
        <is>
          <t>titik 4</t>
        </is>
      </c>
      <c r="F15" s="3" t="inlineStr">
        <is>
          <t>titik 5</t>
        </is>
      </c>
      <c r="G15" s="3" t="inlineStr">
        <is>
          <t>titik 6</t>
        </is>
      </c>
      <c r="H15" s="3" t="inlineStr">
        <is>
          <t>titik 7</t>
        </is>
      </c>
      <c r="I15" s="3" t="inlineStr">
        <is>
          <t>titik 8</t>
        </is>
      </c>
      <c r="J15" s="3" t="inlineStr">
        <is>
          <t>titik 9</t>
        </is>
      </c>
      <c r="K15" s="3" t="inlineStr">
        <is>
          <t>Rata-rata</t>
        </is>
      </c>
      <c r="L15" s="3" t="inlineStr">
        <is>
          <t>Min</t>
        </is>
      </c>
      <c r="M15" s="3" t="inlineStr">
        <is>
          <t>Maks</t>
        </is>
      </c>
      <c r="N15" s="3" t="inlineStr">
        <is>
          <t>Dilaporkan</t>
        </is>
      </c>
      <c r="O15" s="3" t="inlineStr">
        <is>
          <t>Selisih</t>
        </is>
      </c>
      <c r="P15" s="3" t="inlineStr">
        <is>
          <t>Cocok?</t>
        </is>
      </c>
    </row>
    <row r="16">
      <c r="A16" s="4" t="inlineStr">
        <is>
          <t>Popularity</t>
        </is>
      </c>
      <c r="B16" s="14" t="n">
        <v>0.005443055555555555</v>
      </c>
      <c r="C16" s="14" t="n">
        <v>0.002706283068783069</v>
      </c>
      <c r="D16" s="14" t="n">
        <v>0.001852910052910053</v>
      </c>
      <c r="E16" s="14" t="n">
        <v>0.004679298941798943</v>
      </c>
      <c r="F16" s="14" t="n">
        <v>0.003161838624338624</v>
      </c>
      <c r="G16" s="14" t="n">
        <v>0.002885251322751323</v>
      </c>
      <c r="H16" s="14" t="n">
        <v>0.004753571428571429</v>
      </c>
      <c r="I16" s="14" t="n">
        <v>0.003053042328042329</v>
      </c>
      <c r="J16" s="14" t="n">
        <v>0.001393121693121693</v>
      </c>
      <c r="K16" s="15">
        <f>AVERAGE(B16:J16)</f>
        <v/>
      </c>
      <c r="L16" s="15">
        <f>MIN(B16:J16)</f>
        <v/>
      </c>
      <c r="M16" s="15">
        <f>MAX(B16:J16)</f>
        <v/>
      </c>
      <c r="N16" s="14" t="n">
        <v>0.0033253748</v>
      </c>
      <c r="O16" s="15">
        <f>K16-N16</f>
        <v/>
      </c>
      <c r="P16" s="5">
        <f>IF(ABS(O16)&lt;0.0000005,"cocok","periksa")</f>
        <v/>
      </c>
    </row>
    <row r="17">
      <c r="A17" s="4" t="inlineStr">
        <is>
          <t>CBF (TF-IDF)</t>
        </is>
      </c>
      <c r="B17" s="14" t="n">
        <v>0.0003648148148148148</v>
      </c>
      <c r="C17" s="14" t="n">
        <v>0.0005793320105820106</v>
      </c>
      <c r="D17" s="14" t="n">
        <v>0.0003541666666666667</v>
      </c>
      <c r="E17" s="14" t="n">
        <v>0.0003462301587301587</v>
      </c>
      <c r="F17" s="14" t="n">
        <v>0.0004298280423280423</v>
      </c>
      <c r="G17" s="14" t="n">
        <v>0.0002740740740740741</v>
      </c>
      <c r="H17" s="14" t="n">
        <v>0.0002018518518518519</v>
      </c>
      <c r="I17" s="14" t="n">
        <v>0.0001615740740740741</v>
      </c>
      <c r="J17" s="14" t="n">
        <v>0.000183994708994709</v>
      </c>
      <c r="K17" s="15">
        <f>AVERAGE(B17:J17)</f>
        <v/>
      </c>
      <c r="L17" s="15">
        <f>MIN(B17:J17)</f>
        <v/>
      </c>
      <c r="M17" s="15">
        <f>MAX(B17:J17)</f>
        <v/>
      </c>
      <c r="N17" s="14" t="n">
        <v>0.0003217629</v>
      </c>
      <c r="O17" s="15">
        <f>K17-N17</f>
        <v/>
      </c>
      <c r="P17" s="5">
        <f>IF(ABS(O17)&lt;0.0000005,"cocok","periksa")</f>
        <v/>
      </c>
    </row>
    <row r="18">
      <c r="A18" s="4" t="inlineStr">
        <is>
          <t>ALS (CF)</t>
        </is>
      </c>
      <c r="B18" s="14" t="n">
        <v>0.002574404761904762</v>
      </c>
      <c r="C18" s="14" t="n">
        <v>0.001444113756613757</v>
      </c>
      <c r="D18" s="14" t="n">
        <v>0.00121468253968254</v>
      </c>
      <c r="E18" s="14" t="n">
        <v>0.00207037037037037</v>
      </c>
      <c r="F18" s="14" t="n">
        <v>0.001716402116402116</v>
      </c>
      <c r="G18" s="14" t="n">
        <v>0.001276058201058201</v>
      </c>
      <c r="H18" s="14" t="n">
        <v>0.002514219576719577</v>
      </c>
      <c r="I18" s="14" t="n">
        <v>0.002476587301587302</v>
      </c>
      <c r="J18" s="14" t="n">
        <v>0.001351322751322751</v>
      </c>
      <c r="K18" s="15">
        <f>AVERAGE(B18:J18)</f>
        <v/>
      </c>
      <c r="L18" s="15">
        <f>MIN(B18:J18)</f>
        <v/>
      </c>
      <c r="M18" s="15">
        <f>MAX(B18:J18)</f>
        <v/>
      </c>
      <c r="N18" s="14" t="n">
        <v>0.0018486846</v>
      </c>
      <c r="O18" s="15">
        <f>K18-N18</f>
        <v/>
      </c>
      <c r="P18" s="5">
        <f>IF(ABS(O18)&lt;0.0000005,"cocok","periksa")</f>
        <v/>
      </c>
    </row>
    <row r="19">
      <c r="A19" s="4" t="inlineStr">
        <is>
          <t>Hybrid alpha 0,2</t>
        </is>
      </c>
      <c r="B19" s="14" t="n">
        <v>0.0008332671957671957</v>
      </c>
      <c r="C19" s="14" t="n">
        <v>0.0007833333333333333</v>
      </c>
      <c r="D19" s="14" t="n">
        <v>0.0003881613756613757</v>
      </c>
      <c r="E19" s="14" t="n">
        <v>0.0007837962962962963</v>
      </c>
      <c r="F19" s="14" t="n">
        <v>0.001074007936507937</v>
      </c>
      <c r="G19" s="14" t="n">
        <v>0.0004755952380952381</v>
      </c>
      <c r="H19" s="14" t="n">
        <v>0.0003407407407407407</v>
      </c>
      <c r="I19" s="14" t="n">
        <v>0.0006686507936507936</v>
      </c>
      <c r="J19" s="14" t="n">
        <v>0.0002488095238095238</v>
      </c>
      <c r="K19" s="15">
        <f>AVERAGE(B19:J19)</f>
        <v/>
      </c>
      <c r="L19" s="15">
        <f>MIN(B19:J19)</f>
        <v/>
      </c>
      <c r="M19" s="15">
        <f>MAX(B19:J19)</f>
        <v/>
      </c>
      <c r="N19" s="14" t="n">
        <v>0.000621818</v>
      </c>
      <c r="O19" s="15">
        <f>K19-N19</f>
        <v/>
      </c>
      <c r="P19" s="5">
        <f>IF(ABS(O19)&lt;0.0000005,"cocok","periksa")</f>
        <v/>
      </c>
    </row>
    <row r="20">
      <c r="A20" s="4" t="inlineStr">
        <is>
          <t>Hybrid alpha 0,4</t>
        </is>
      </c>
      <c r="B20" s="14" t="n">
        <v>0.001130952380952381</v>
      </c>
      <c r="C20" s="14" t="n">
        <v>0.0005577380952380952</v>
      </c>
      <c r="D20" s="14" t="n">
        <v>0.0004265873015873015</v>
      </c>
      <c r="E20" s="14" t="n">
        <v>0.0009383597883597883</v>
      </c>
      <c r="F20" s="14" t="n">
        <v>0.00124292328042328</v>
      </c>
      <c r="G20" s="14" t="n">
        <v>0.0004121693121693122</v>
      </c>
      <c r="H20" s="14" t="n">
        <v>0.000418452380952381</v>
      </c>
      <c r="I20" s="14" t="n">
        <v>0.0009782407407407409</v>
      </c>
      <c r="J20" s="14" t="n">
        <v>0.0003664021164021165</v>
      </c>
      <c r="K20" s="15">
        <f>AVERAGE(B20:J20)</f>
        <v/>
      </c>
      <c r="L20" s="15">
        <f>MIN(B20:J20)</f>
        <v/>
      </c>
      <c r="M20" s="15">
        <f>MAX(B20:J20)</f>
        <v/>
      </c>
      <c r="N20" s="14" t="n">
        <v>0.0007190917</v>
      </c>
      <c r="O20" s="15">
        <f>K20-N20</f>
        <v/>
      </c>
      <c r="P20" s="5">
        <f>IF(ABS(O20)&lt;0.0000005,"cocok","periksa")</f>
        <v/>
      </c>
    </row>
    <row r="21">
      <c r="A21" s="4" t="inlineStr">
        <is>
          <t>Hybrid alpha 0,6</t>
        </is>
      </c>
      <c r="B21" s="14" t="n">
        <v>0.001171693121693122</v>
      </c>
      <c r="C21" s="14" t="n">
        <v>0.0005623677248677248</v>
      </c>
      <c r="D21" s="14" t="n">
        <v>0.000468452380952381</v>
      </c>
      <c r="E21" s="14" t="n">
        <v>0.0009431878306878308</v>
      </c>
      <c r="F21" s="14" t="n">
        <v>0.001243121693121693</v>
      </c>
      <c r="G21" s="14" t="n">
        <v>0.0004219576719576719</v>
      </c>
      <c r="H21" s="14" t="n">
        <v>0.0005123677248677249</v>
      </c>
      <c r="I21" s="14" t="n">
        <v>0.001212698412698413</v>
      </c>
      <c r="J21" s="14" t="n">
        <v>0.000418915343915344</v>
      </c>
      <c r="K21" s="15">
        <f>AVERAGE(B21:J21)</f>
        <v/>
      </c>
      <c r="L21" s="15">
        <f>MIN(B21:J21)</f>
        <v/>
      </c>
      <c r="M21" s="15">
        <f>MAX(B21:J21)</f>
        <v/>
      </c>
      <c r="N21" s="14" t="n">
        <v>0.0007727513</v>
      </c>
      <c r="O21" s="15">
        <f>K21-N21</f>
        <v/>
      </c>
      <c r="P21" s="5">
        <f>IF(ABS(O21)&lt;0.0000005,"cocok","periksa")</f>
        <v/>
      </c>
    </row>
    <row r="22">
      <c r="A22" s="4" t="inlineStr">
        <is>
          <t>Hybrid alpha 0,8 (dilayani)</t>
        </is>
      </c>
      <c r="B22" s="14" t="n">
        <v>0.00128505291005291</v>
      </c>
      <c r="C22" s="14" t="n">
        <v>0.0006409391534391534</v>
      </c>
      <c r="D22" s="14" t="n">
        <v>0.0006166005291005293</v>
      </c>
      <c r="E22" s="14" t="n">
        <v>0.001047156084656084</v>
      </c>
      <c r="F22" s="14" t="n">
        <v>0.001325132275132275</v>
      </c>
      <c r="G22" s="14" t="n">
        <v>0.0004640873015873016</v>
      </c>
      <c r="H22" s="14" t="n">
        <v>0.0005240079365079365</v>
      </c>
      <c r="I22" s="14" t="n">
        <v>0.00121686507936508</v>
      </c>
      <c r="J22" s="14" t="n">
        <v>0.000354563492063492</v>
      </c>
      <c r="K22" s="15">
        <f>AVERAGE(B22:J22)</f>
        <v/>
      </c>
      <c r="L22" s="15">
        <f>MIN(B22:J22)</f>
        <v/>
      </c>
      <c r="M22" s="15">
        <f>MAX(B22:J22)</f>
        <v/>
      </c>
      <c r="N22" s="14" t="n">
        <v>0.0008304894</v>
      </c>
      <c r="O22" s="15">
        <f>K22-N22</f>
        <v/>
      </c>
      <c r="P22" s="5">
        <f>IF(ABS(O22)&lt;0.0000005,"cocok","periksa")</f>
        <v/>
      </c>
    </row>
    <row r="24">
      <c r="A24" s="13" t="inlineStr">
        <is>
          <t>MAP@10</t>
        </is>
      </c>
    </row>
    <row r="25" ht="18" customHeight="1">
      <c r="A25" s="3" t="inlineStr">
        <is>
          <t>Sistem</t>
        </is>
      </c>
      <c r="B25" s="3" t="inlineStr">
        <is>
          <t>titik 1</t>
        </is>
      </c>
      <c r="C25" s="3" t="inlineStr">
        <is>
          <t>titik 2</t>
        </is>
      </c>
      <c r="D25" s="3" t="inlineStr">
        <is>
          <t>titik 3</t>
        </is>
      </c>
      <c r="E25" s="3" t="inlineStr">
        <is>
          <t>titik 4</t>
        </is>
      </c>
      <c r="F25" s="3" t="inlineStr">
        <is>
          <t>titik 5</t>
        </is>
      </c>
      <c r="G25" s="3" t="inlineStr">
        <is>
          <t>titik 6</t>
        </is>
      </c>
      <c r="H25" s="3" t="inlineStr">
        <is>
          <t>titik 7</t>
        </is>
      </c>
      <c r="I25" s="3" t="inlineStr">
        <is>
          <t>titik 8</t>
        </is>
      </c>
      <c r="J25" s="3" t="inlineStr">
        <is>
          <t>titik 9</t>
        </is>
      </c>
      <c r="K25" s="3" t="inlineStr">
        <is>
          <t>Rata-rata</t>
        </is>
      </c>
      <c r="L25" s="3" t="inlineStr">
        <is>
          <t>Min</t>
        </is>
      </c>
      <c r="M25" s="3" t="inlineStr">
        <is>
          <t>Maks</t>
        </is>
      </c>
      <c r="N25" s="3" t="inlineStr">
        <is>
          <t>Dilaporkan</t>
        </is>
      </c>
      <c r="O25" s="3" t="inlineStr">
        <is>
          <t>Selisih</t>
        </is>
      </c>
      <c r="P25" s="3" t="inlineStr">
        <is>
          <t>Cocok?</t>
        </is>
      </c>
    </row>
    <row r="26">
      <c r="A26" s="4" t="inlineStr">
        <is>
          <t>Popularity</t>
        </is>
      </c>
      <c r="B26" s="14" t="n">
        <v>0.005443055555555555</v>
      </c>
      <c r="C26" s="14" t="n">
        <v>0.002706283068783069</v>
      </c>
      <c r="D26" s="14" t="n">
        <v>0.001852910052910053</v>
      </c>
      <c r="E26" s="14" t="n">
        <v>0.004679298941798943</v>
      </c>
      <c r="F26" s="14" t="n">
        <v>0.003161838624338624</v>
      </c>
      <c r="G26" s="14" t="n">
        <v>0.002885251322751323</v>
      </c>
      <c r="H26" s="14" t="n">
        <v>0.004753571428571429</v>
      </c>
      <c r="I26" s="14" t="n">
        <v>0.003053042328042329</v>
      </c>
      <c r="J26" s="14" t="n">
        <v>0.001393121693121693</v>
      </c>
      <c r="K26" s="15">
        <f>AVERAGE(B26:J26)</f>
        <v/>
      </c>
      <c r="L26" s="15">
        <f>MIN(B26:J26)</f>
        <v/>
      </c>
      <c r="M26" s="15">
        <f>MAX(B26:J26)</f>
        <v/>
      </c>
      <c r="N26" s="14" t="n">
        <v>0.0033253748</v>
      </c>
      <c r="O26" s="15">
        <f>K26-N26</f>
        <v/>
      </c>
      <c r="P26" s="5">
        <f>IF(ABS(O26)&lt;0.0000005,"cocok","periksa")</f>
        <v/>
      </c>
    </row>
    <row r="27">
      <c r="A27" s="4" t="inlineStr">
        <is>
          <t>CBF (TF-IDF)</t>
        </is>
      </c>
      <c r="B27" s="14" t="n">
        <v>0.0003648148148148148</v>
      </c>
      <c r="C27" s="14" t="n">
        <v>0.0005793320105820106</v>
      </c>
      <c r="D27" s="14" t="n">
        <v>0.0003541666666666667</v>
      </c>
      <c r="E27" s="14" t="n">
        <v>0.0003462301587301587</v>
      </c>
      <c r="F27" s="14" t="n">
        <v>0.0004298280423280423</v>
      </c>
      <c r="G27" s="14" t="n">
        <v>0.0002740740740740741</v>
      </c>
      <c r="H27" s="14" t="n">
        <v>0.0002018518518518519</v>
      </c>
      <c r="I27" s="14" t="n">
        <v>0.0001615740740740741</v>
      </c>
      <c r="J27" s="14" t="n">
        <v>0.000183994708994709</v>
      </c>
      <c r="K27" s="15">
        <f>AVERAGE(B27:J27)</f>
        <v/>
      </c>
      <c r="L27" s="15">
        <f>MIN(B27:J27)</f>
        <v/>
      </c>
      <c r="M27" s="15">
        <f>MAX(B27:J27)</f>
        <v/>
      </c>
      <c r="N27" s="14" t="n">
        <v>0.0003217629</v>
      </c>
      <c r="O27" s="15">
        <f>K27-N27</f>
        <v/>
      </c>
      <c r="P27" s="5">
        <f>IF(ABS(O27)&lt;0.0000005,"cocok","periksa")</f>
        <v/>
      </c>
    </row>
    <row r="28">
      <c r="A28" s="4" t="inlineStr">
        <is>
          <t>ALS (CF)</t>
        </is>
      </c>
      <c r="B28" s="14" t="n">
        <v>0.002574404761904762</v>
      </c>
      <c r="C28" s="14" t="n">
        <v>0.001444113756613757</v>
      </c>
      <c r="D28" s="14" t="n">
        <v>0.00121468253968254</v>
      </c>
      <c r="E28" s="14" t="n">
        <v>0.00207037037037037</v>
      </c>
      <c r="F28" s="14" t="n">
        <v>0.001716402116402116</v>
      </c>
      <c r="G28" s="14" t="n">
        <v>0.001276058201058201</v>
      </c>
      <c r="H28" s="14" t="n">
        <v>0.002514219576719577</v>
      </c>
      <c r="I28" s="14" t="n">
        <v>0.002476587301587302</v>
      </c>
      <c r="J28" s="14" t="n">
        <v>0.001351322751322751</v>
      </c>
      <c r="K28" s="15">
        <f>AVERAGE(B28:J28)</f>
        <v/>
      </c>
      <c r="L28" s="15">
        <f>MIN(B28:J28)</f>
        <v/>
      </c>
      <c r="M28" s="15">
        <f>MAX(B28:J28)</f>
        <v/>
      </c>
      <c r="N28" s="14" t="n">
        <v>0.0018486846</v>
      </c>
      <c r="O28" s="15">
        <f>K28-N28</f>
        <v/>
      </c>
      <c r="P28" s="5">
        <f>IF(ABS(O28)&lt;0.0000005,"cocok","periksa")</f>
        <v/>
      </c>
    </row>
    <row r="29">
      <c r="A29" s="4" t="inlineStr">
        <is>
          <t>Hybrid alpha 0,2</t>
        </is>
      </c>
      <c r="B29" s="14" t="n">
        <v>0.0008332671957671957</v>
      </c>
      <c r="C29" s="14" t="n">
        <v>0.0007833333333333333</v>
      </c>
      <c r="D29" s="14" t="n">
        <v>0.0003881613756613757</v>
      </c>
      <c r="E29" s="14" t="n">
        <v>0.0007837962962962963</v>
      </c>
      <c r="F29" s="14" t="n">
        <v>0.001074007936507937</v>
      </c>
      <c r="G29" s="14" t="n">
        <v>0.0004755952380952381</v>
      </c>
      <c r="H29" s="14" t="n">
        <v>0.0003407407407407407</v>
      </c>
      <c r="I29" s="14" t="n">
        <v>0.0006686507936507936</v>
      </c>
      <c r="J29" s="14" t="n">
        <v>0.0002488095238095238</v>
      </c>
      <c r="K29" s="15">
        <f>AVERAGE(B29:J29)</f>
        <v/>
      </c>
      <c r="L29" s="15">
        <f>MIN(B29:J29)</f>
        <v/>
      </c>
      <c r="M29" s="15">
        <f>MAX(B29:J29)</f>
        <v/>
      </c>
      <c r="N29" s="14" t="n">
        <v>0.000621818</v>
      </c>
      <c r="O29" s="15">
        <f>K29-N29</f>
        <v/>
      </c>
      <c r="P29" s="5">
        <f>IF(ABS(O29)&lt;0.0000005,"cocok","periksa")</f>
        <v/>
      </c>
    </row>
    <row r="30">
      <c r="A30" s="4" t="inlineStr">
        <is>
          <t>Hybrid alpha 0,4</t>
        </is>
      </c>
      <c r="B30" s="14" t="n">
        <v>0.001130952380952381</v>
      </c>
      <c r="C30" s="14" t="n">
        <v>0.0005577380952380952</v>
      </c>
      <c r="D30" s="14" t="n">
        <v>0.0004265873015873015</v>
      </c>
      <c r="E30" s="14" t="n">
        <v>0.0009383597883597883</v>
      </c>
      <c r="F30" s="14" t="n">
        <v>0.00124292328042328</v>
      </c>
      <c r="G30" s="14" t="n">
        <v>0.0004121693121693122</v>
      </c>
      <c r="H30" s="14" t="n">
        <v>0.000418452380952381</v>
      </c>
      <c r="I30" s="14" t="n">
        <v>0.0009782407407407409</v>
      </c>
      <c r="J30" s="14" t="n">
        <v>0.0003664021164021165</v>
      </c>
      <c r="K30" s="15">
        <f>AVERAGE(B30:J30)</f>
        <v/>
      </c>
      <c r="L30" s="15">
        <f>MIN(B30:J30)</f>
        <v/>
      </c>
      <c r="M30" s="15">
        <f>MAX(B30:J30)</f>
        <v/>
      </c>
      <c r="N30" s="14" t="n">
        <v>0.0007190917</v>
      </c>
      <c r="O30" s="15">
        <f>K30-N30</f>
        <v/>
      </c>
      <c r="P30" s="5">
        <f>IF(ABS(O30)&lt;0.0000005,"cocok","periksa")</f>
        <v/>
      </c>
    </row>
    <row r="31">
      <c r="A31" s="4" t="inlineStr">
        <is>
          <t>Hybrid alpha 0,6</t>
        </is>
      </c>
      <c r="B31" s="14" t="n">
        <v>0.001171693121693122</v>
      </c>
      <c r="C31" s="14" t="n">
        <v>0.0005623677248677248</v>
      </c>
      <c r="D31" s="14" t="n">
        <v>0.000468452380952381</v>
      </c>
      <c r="E31" s="14" t="n">
        <v>0.0009431878306878308</v>
      </c>
      <c r="F31" s="14" t="n">
        <v>0.001243121693121693</v>
      </c>
      <c r="G31" s="14" t="n">
        <v>0.0004219576719576719</v>
      </c>
      <c r="H31" s="14" t="n">
        <v>0.0005123677248677249</v>
      </c>
      <c r="I31" s="14" t="n">
        <v>0.001212698412698413</v>
      </c>
      <c r="J31" s="14" t="n">
        <v>0.000418915343915344</v>
      </c>
      <c r="K31" s="15">
        <f>AVERAGE(B31:J31)</f>
        <v/>
      </c>
      <c r="L31" s="15">
        <f>MIN(B31:J31)</f>
        <v/>
      </c>
      <c r="M31" s="15">
        <f>MAX(B31:J31)</f>
        <v/>
      </c>
      <c r="N31" s="14" t="n">
        <v>0.0007727513</v>
      </c>
      <c r="O31" s="15">
        <f>K31-N31</f>
        <v/>
      </c>
      <c r="P31" s="5">
        <f>IF(ABS(O31)&lt;0.0000005,"cocok","periksa")</f>
        <v/>
      </c>
    </row>
    <row r="32">
      <c r="A32" s="4" t="inlineStr">
        <is>
          <t>Hybrid alpha 0,8 (dilayani)</t>
        </is>
      </c>
      <c r="B32" s="14" t="n">
        <v>0.00128505291005291</v>
      </c>
      <c r="C32" s="14" t="n">
        <v>0.0006409391534391534</v>
      </c>
      <c r="D32" s="14" t="n">
        <v>0.0006166005291005293</v>
      </c>
      <c r="E32" s="14" t="n">
        <v>0.001047156084656084</v>
      </c>
      <c r="F32" s="14" t="n">
        <v>0.001325132275132275</v>
      </c>
      <c r="G32" s="14" t="n">
        <v>0.0004640873015873016</v>
      </c>
      <c r="H32" s="14" t="n">
        <v>0.0005240079365079365</v>
      </c>
      <c r="I32" s="14" t="n">
        <v>0.00121686507936508</v>
      </c>
      <c r="J32" s="14" t="n">
        <v>0.000354563492063492</v>
      </c>
      <c r="K32" s="15">
        <f>AVERAGE(B32:J32)</f>
        <v/>
      </c>
      <c r="L32" s="15">
        <f>MIN(B32:J32)</f>
        <v/>
      </c>
      <c r="M32" s="15">
        <f>MAX(B32:J32)</f>
        <v/>
      </c>
      <c r="N32" s="14" t="n">
        <v>0.0008304894</v>
      </c>
      <c r="O32" s="15">
        <f>K32-N32</f>
        <v/>
      </c>
      <c r="P32" s="5">
        <f>IF(ABS(O32)&lt;0.0000005,"cocok","periksa")</f>
        <v/>
      </c>
    </row>
    <row r="34">
      <c r="A34" s="13" t="inlineStr">
        <is>
          <t>Precision@10</t>
        </is>
      </c>
    </row>
    <row r="35" ht="18" customHeight="1">
      <c r="A35" s="3" t="inlineStr">
        <is>
          <t>Sistem</t>
        </is>
      </c>
      <c r="B35" s="3" t="inlineStr">
        <is>
          <t>titik 1</t>
        </is>
      </c>
      <c r="C35" s="3" t="inlineStr">
        <is>
          <t>titik 2</t>
        </is>
      </c>
      <c r="D35" s="3" t="inlineStr">
        <is>
          <t>titik 3</t>
        </is>
      </c>
      <c r="E35" s="3" t="inlineStr">
        <is>
          <t>titik 4</t>
        </is>
      </c>
      <c r="F35" s="3" t="inlineStr">
        <is>
          <t>titik 5</t>
        </is>
      </c>
      <c r="G35" s="3" t="inlineStr">
        <is>
          <t>titik 6</t>
        </is>
      </c>
      <c r="H35" s="3" t="inlineStr">
        <is>
          <t>titik 7</t>
        </is>
      </c>
      <c r="I35" s="3" t="inlineStr">
        <is>
          <t>titik 8</t>
        </is>
      </c>
      <c r="J35" s="3" t="inlineStr">
        <is>
          <t>titik 9</t>
        </is>
      </c>
      <c r="K35" s="3" t="inlineStr">
        <is>
          <t>Rata-rata</t>
        </is>
      </c>
      <c r="L35" s="3" t="inlineStr">
        <is>
          <t>Min</t>
        </is>
      </c>
      <c r="M35" s="3" t="inlineStr">
        <is>
          <t>Maks</t>
        </is>
      </c>
      <c r="N35" s="3" t="inlineStr">
        <is>
          <t>Dilaporkan</t>
        </is>
      </c>
      <c r="O35" s="3" t="inlineStr">
        <is>
          <t>Selisih</t>
        </is>
      </c>
      <c r="P35" s="3" t="inlineStr">
        <is>
          <t>Cocok?</t>
        </is>
      </c>
    </row>
    <row r="36">
      <c r="A36" s="4" t="inlineStr">
        <is>
          <t>Popularity</t>
        </is>
      </c>
      <c r="B36" s="14" t="n">
        <v>0.01566666666666667</v>
      </c>
      <c r="C36" s="14" t="n">
        <v>0.008333333333333333</v>
      </c>
      <c r="D36" s="14" t="n">
        <v>0.0055</v>
      </c>
      <c r="E36" s="14" t="n">
        <v>0.01266666666666667</v>
      </c>
      <c r="F36" s="14" t="n">
        <v>0.01033333333333333</v>
      </c>
      <c r="G36" s="14" t="n">
        <v>0.009499999999999998</v>
      </c>
      <c r="H36" s="14" t="n">
        <v>0.01483333333333333</v>
      </c>
      <c r="I36" s="14" t="n">
        <v>0.007833333333333333</v>
      </c>
      <c r="J36" s="14" t="n">
        <v>0.006166666666666667</v>
      </c>
      <c r="K36" s="15">
        <f>AVERAGE(B36:J36)</f>
        <v/>
      </c>
      <c r="L36" s="15">
        <f>MIN(B36:J36)</f>
        <v/>
      </c>
      <c r="M36" s="15">
        <f>MAX(B36:J36)</f>
        <v/>
      </c>
      <c r="N36" s="14" t="n">
        <v>0.0100925926</v>
      </c>
      <c r="O36" s="15">
        <f>K36-N36</f>
        <v/>
      </c>
      <c r="P36" s="5">
        <f>IF(ABS(O36)&lt;0.0000005,"cocok","periksa")</f>
        <v/>
      </c>
    </row>
    <row r="37">
      <c r="A37" s="4" t="inlineStr">
        <is>
          <t>CBF (TF-IDF)</t>
        </is>
      </c>
      <c r="B37" s="14" t="n">
        <v>0.0015</v>
      </c>
      <c r="C37" s="14" t="n">
        <v>0.001666666666666667</v>
      </c>
      <c r="D37" s="14" t="n">
        <v>0.001</v>
      </c>
      <c r="E37" s="14" t="n">
        <v>0.001166666666666667</v>
      </c>
      <c r="F37" s="14" t="n">
        <v>0.001333333333333334</v>
      </c>
      <c r="G37" s="14" t="n">
        <v>0.0008333333333333334</v>
      </c>
      <c r="H37" s="14" t="n">
        <v>0.0006666666666666668</v>
      </c>
      <c r="I37" s="14" t="n">
        <v>0.001</v>
      </c>
      <c r="J37" s="14" t="n">
        <v>0.001</v>
      </c>
      <c r="K37" s="15">
        <f>AVERAGE(B37:J37)</f>
        <v/>
      </c>
      <c r="L37" s="15">
        <f>MIN(B37:J37)</f>
        <v/>
      </c>
      <c r="M37" s="15">
        <f>MAX(B37:J37)</f>
        <v/>
      </c>
      <c r="N37" s="14" t="n">
        <v>0.0011296296</v>
      </c>
      <c r="O37" s="15">
        <f>K37-N37</f>
        <v/>
      </c>
      <c r="P37" s="5">
        <f>IF(ABS(O37)&lt;0.0000005,"cocok","periksa")</f>
        <v/>
      </c>
    </row>
    <row r="38">
      <c r="A38" s="4" t="inlineStr">
        <is>
          <t>ALS (CF)</t>
        </is>
      </c>
      <c r="B38" s="14" t="n">
        <v>0.007166666666666668</v>
      </c>
      <c r="C38" s="14" t="n">
        <v>0.004333333333333334</v>
      </c>
      <c r="D38" s="14" t="n">
        <v>0.004166666666666667</v>
      </c>
      <c r="E38" s="14" t="n">
        <v>0.007833333333333333</v>
      </c>
      <c r="F38" s="14" t="n">
        <v>0.004833333333333334</v>
      </c>
      <c r="G38" s="14" t="n">
        <v>0.0035</v>
      </c>
      <c r="H38" s="14" t="n">
        <v>0.008166666666666668</v>
      </c>
      <c r="I38" s="14" t="n">
        <v>0.004833333333333334</v>
      </c>
      <c r="J38" s="14" t="n">
        <v>0.002833333333333334</v>
      </c>
      <c r="K38" s="15">
        <f>AVERAGE(B38:J38)</f>
        <v/>
      </c>
      <c r="L38" s="15">
        <f>MIN(B38:J38)</f>
        <v/>
      </c>
      <c r="M38" s="15">
        <f>MAX(B38:J38)</f>
        <v/>
      </c>
      <c r="N38" s="14" t="n">
        <v>0.0052962963</v>
      </c>
      <c r="O38" s="15">
        <f>K38-N38</f>
        <v/>
      </c>
      <c r="P38" s="5">
        <f>IF(ABS(O38)&lt;0.0000005,"cocok","periksa")</f>
        <v/>
      </c>
    </row>
    <row r="39">
      <c r="A39" s="4" t="inlineStr">
        <is>
          <t>Hybrid alpha 0,2</t>
        </is>
      </c>
      <c r="B39" s="14" t="n">
        <v>0.003333333333333334</v>
      </c>
      <c r="C39" s="14" t="n">
        <v>0.002333333333333334</v>
      </c>
      <c r="D39" s="14" t="n">
        <v>0.001833333333333334</v>
      </c>
      <c r="E39" s="14" t="n">
        <v>0.002333333333333334</v>
      </c>
      <c r="F39" s="14" t="n">
        <v>0.003166666666666667</v>
      </c>
      <c r="G39" s="14" t="n">
        <v>0.001666666666666667</v>
      </c>
      <c r="H39" s="14" t="n">
        <v>0.0015</v>
      </c>
      <c r="I39" s="14" t="n">
        <v>0.003</v>
      </c>
      <c r="J39" s="14" t="n">
        <v>0.001</v>
      </c>
      <c r="K39" s="15">
        <f>AVERAGE(B39:J39)</f>
        <v/>
      </c>
      <c r="L39" s="15">
        <f>MIN(B39:J39)</f>
        <v/>
      </c>
      <c r="M39" s="15">
        <f>MAX(B39:J39)</f>
        <v/>
      </c>
      <c r="N39" s="14" t="n">
        <v>0.0022407407</v>
      </c>
      <c r="O39" s="15">
        <f>K39-N39</f>
        <v/>
      </c>
      <c r="P39" s="5">
        <f>IF(ABS(O39)&lt;0.0000005,"cocok","periksa")</f>
        <v/>
      </c>
    </row>
    <row r="40">
      <c r="A40" s="4" t="inlineStr">
        <is>
          <t>Hybrid alpha 0,4</t>
        </is>
      </c>
      <c r="B40" s="14" t="n">
        <v>0.004333333333333333</v>
      </c>
      <c r="C40" s="14" t="n">
        <v>0.002333333333333333</v>
      </c>
      <c r="D40" s="14" t="n">
        <v>0.002166666666666667</v>
      </c>
      <c r="E40" s="14" t="n">
        <v>0.003166666666666667</v>
      </c>
      <c r="F40" s="14" t="n">
        <v>0.003500000000000001</v>
      </c>
      <c r="G40" s="14" t="n">
        <v>0.001833333333333334</v>
      </c>
      <c r="H40" s="14" t="n">
        <v>0.002166666666666667</v>
      </c>
      <c r="I40" s="14" t="n">
        <v>0.003166666666666667</v>
      </c>
      <c r="J40" s="14" t="n">
        <v>0.001333333333333334</v>
      </c>
      <c r="K40" s="15">
        <f>AVERAGE(B40:J40)</f>
        <v/>
      </c>
      <c r="L40" s="15">
        <f>MIN(B40:J40)</f>
        <v/>
      </c>
      <c r="M40" s="15">
        <f>MAX(B40:J40)</f>
        <v/>
      </c>
      <c r="N40" s="14" t="n">
        <v>0.0026666667</v>
      </c>
      <c r="O40" s="15">
        <f>K40-N40</f>
        <v/>
      </c>
      <c r="P40" s="5">
        <f>IF(ABS(O40)&lt;0.0000005,"cocok","periksa")</f>
        <v/>
      </c>
    </row>
    <row r="41">
      <c r="A41" s="4" t="inlineStr">
        <is>
          <t>Hybrid alpha 0,6</t>
        </is>
      </c>
      <c r="B41" s="14" t="n">
        <v>0.004500000000000001</v>
      </c>
      <c r="C41" s="14" t="n">
        <v>0.0025</v>
      </c>
      <c r="D41" s="14" t="n">
        <v>0.0025</v>
      </c>
      <c r="E41" s="14" t="n">
        <v>0.003166666666666667</v>
      </c>
      <c r="F41" s="14" t="n">
        <v>0.003333333333333334</v>
      </c>
      <c r="G41" s="14" t="n">
        <v>0.001833333333333334</v>
      </c>
      <c r="H41" s="14" t="n">
        <v>0.002333333333333333</v>
      </c>
      <c r="I41" s="14" t="n">
        <v>0.0035</v>
      </c>
      <c r="J41" s="14" t="n">
        <v>0.001833333333333334</v>
      </c>
      <c r="K41" s="15">
        <f>AVERAGE(B41:J41)</f>
        <v/>
      </c>
      <c r="L41" s="15">
        <f>MIN(B41:J41)</f>
        <v/>
      </c>
      <c r="M41" s="15">
        <f>MAX(B41:J41)</f>
        <v/>
      </c>
      <c r="N41" s="14" t="n">
        <v>0.0028333333</v>
      </c>
      <c r="O41" s="15">
        <f>K41-N41</f>
        <v/>
      </c>
      <c r="P41" s="5">
        <f>IF(ABS(O41)&lt;0.0000005,"cocok","periksa")</f>
        <v/>
      </c>
    </row>
    <row r="42">
      <c r="A42" s="4" t="inlineStr">
        <is>
          <t>Hybrid alpha 0,8 (dilayani)</t>
        </is>
      </c>
      <c r="B42" s="14" t="n">
        <v>0.005166666666666667</v>
      </c>
      <c r="C42" s="14" t="n">
        <v>0.002666666666666667</v>
      </c>
      <c r="D42" s="14" t="n">
        <v>0.002666666666666667</v>
      </c>
      <c r="E42" s="14" t="n">
        <v>0.003833333333333334</v>
      </c>
      <c r="F42" s="14" t="n">
        <v>0.003833333333333334</v>
      </c>
      <c r="G42" s="14" t="n">
        <v>0.002</v>
      </c>
      <c r="H42" s="14" t="n">
        <v>0.002666666666666667</v>
      </c>
      <c r="I42" s="14" t="n">
        <v>0.003333333333333334</v>
      </c>
      <c r="J42" s="14" t="n">
        <v>0.002</v>
      </c>
      <c r="K42" s="15">
        <f>AVERAGE(B42:J42)</f>
        <v/>
      </c>
      <c r="L42" s="15">
        <f>MIN(B42:J42)</f>
        <v/>
      </c>
      <c r="M42" s="15">
        <f>MAX(B42:J42)</f>
        <v/>
      </c>
      <c r="N42" s="14" t="n">
        <v>0.0031296296</v>
      </c>
      <c r="O42" s="15">
        <f>K42-N42</f>
        <v/>
      </c>
      <c r="P42" s="5">
        <f>IF(ABS(O42)&lt;0.0000005,"cocok","periksa")</f>
        <v/>
      </c>
    </row>
    <row r="44">
      <c r="A44" s="13" t="inlineStr">
        <is>
          <t>Recall@10</t>
        </is>
      </c>
    </row>
    <row r="45" ht="18" customHeight="1">
      <c r="A45" s="3" t="inlineStr">
        <is>
          <t>Sistem</t>
        </is>
      </c>
      <c r="B45" s="3" t="inlineStr">
        <is>
          <t>titik 1</t>
        </is>
      </c>
      <c r="C45" s="3" t="inlineStr">
        <is>
          <t>titik 2</t>
        </is>
      </c>
      <c r="D45" s="3" t="inlineStr">
        <is>
          <t>titik 3</t>
        </is>
      </c>
      <c r="E45" s="3" t="inlineStr">
        <is>
          <t>titik 4</t>
        </is>
      </c>
      <c r="F45" s="3" t="inlineStr">
        <is>
          <t>titik 5</t>
        </is>
      </c>
      <c r="G45" s="3" t="inlineStr">
        <is>
          <t>titik 6</t>
        </is>
      </c>
      <c r="H45" s="3" t="inlineStr">
        <is>
          <t>titik 7</t>
        </is>
      </c>
      <c r="I45" s="3" t="inlineStr">
        <is>
          <t>titik 8</t>
        </is>
      </c>
      <c r="J45" s="3" t="inlineStr">
        <is>
          <t>titik 9</t>
        </is>
      </c>
      <c r="K45" s="3" t="inlineStr">
        <is>
          <t>Rata-rata</t>
        </is>
      </c>
      <c r="L45" s="3" t="inlineStr">
        <is>
          <t>Min</t>
        </is>
      </c>
      <c r="M45" s="3" t="inlineStr">
        <is>
          <t>Maks</t>
        </is>
      </c>
      <c r="N45" s="3" t="inlineStr">
        <is>
          <t>Dilaporkan</t>
        </is>
      </c>
      <c r="O45" s="3" t="inlineStr">
        <is>
          <t>Selisih</t>
        </is>
      </c>
      <c r="P45" s="3" t="inlineStr">
        <is>
          <t>Cocok?</t>
        </is>
      </c>
    </row>
    <row r="46">
      <c r="A46" s="4" t="inlineStr">
        <is>
          <t>Popularity</t>
        </is>
      </c>
      <c r="B46" s="14" t="n">
        <v>0.006224322054799421</v>
      </c>
      <c r="C46" s="14" t="n">
        <v>0.00321408754861257</v>
      </c>
      <c r="D46" s="14" t="n">
        <v>0.002258953646213632</v>
      </c>
      <c r="E46" s="14" t="n">
        <v>0.005602542426072446</v>
      </c>
      <c r="F46" s="14" t="n">
        <v>0.00441988034001324</v>
      </c>
      <c r="G46" s="14" t="n">
        <v>0.003938902581097948</v>
      </c>
      <c r="H46" s="14" t="n">
        <v>0.006481969759857614</v>
      </c>
      <c r="I46" s="14" t="n">
        <v>0.003265987985425236</v>
      </c>
      <c r="J46" s="14" t="n">
        <v>0.002791151871795243</v>
      </c>
      <c r="K46" s="15">
        <f>AVERAGE(B46:J46)</f>
        <v/>
      </c>
      <c r="L46" s="15">
        <f>MIN(B46:J46)</f>
        <v/>
      </c>
      <c r="M46" s="15">
        <f>MAX(B46:J46)</f>
        <v/>
      </c>
      <c r="N46" s="14" t="n">
        <v>0.0042441998</v>
      </c>
      <c r="O46" s="15">
        <f>K46-N46</f>
        <v/>
      </c>
      <c r="P46" s="5">
        <f>IF(ABS(O46)&lt;0.0000005,"cocok","periksa")</f>
        <v/>
      </c>
    </row>
    <row r="47">
      <c r="A47" s="4" t="inlineStr">
        <is>
          <t>CBF (TF-IDF)</t>
        </is>
      </c>
      <c r="B47" s="14" t="n">
        <v>0.0005430124099853451</v>
      </c>
      <c r="C47" s="14" t="n">
        <v>0.000737951897257113</v>
      </c>
      <c r="D47" s="14" t="n">
        <v>0.0004681503624754039</v>
      </c>
      <c r="E47" s="14" t="n">
        <v>0.0005144756777749105</v>
      </c>
      <c r="F47" s="14" t="n">
        <v>0.0006391595971526401</v>
      </c>
      <c r="G47" s="14" t="n">
        <v>0.0004286315536315536</v>
      </c>
      <c r="H47" s="14" t="n">
        <v>0.0002457441913963653</v>
      </c>
      <c r="I47" s="14" t="n">
        <v>0.0004189763564048461</v>
      </c>
      <c r="J47" s="14" t="n">
        <v>0.0004611841486126384</v>
      </c>
      <c r="K47" s="15">
        <f>AVERAGE(B47:J47)</f>
        <v/>
      </c>
      <c r="L47" s="15">
        <f>MIN(B47:J47)</f>
        <v/>
      </c>
      <c r="M47" s="15">
        <f>MAX(B47:J47)</f>
        <v/>
      </c>
      <c r="N47" s="14" t="n">
        <v>0.000495254</v>
      </c>
      <c r="O47" s="15">
        <f>K47-N47</f>
        <v/>
      </c>
      <c r="P47" s="5">
        <f>IF(ABS(O47)&lt;0.0000005,"cocok","periksa")</f>
        <v/>
      </c>
    </row>
    <row r="48">
      <c r="A48" s="4" t="inlineStr">
        <is>
          <t>ALS (CF)</t>
        </is>
      </c>
      <c r="B48" s="14" t="n">
        <v>0.00277346566931609</v>
      </c>
      <c r="C48" s="14" t="n">
        <v>0.002011696043697034</v>
      </c>
      <c r="D48" s="14" t="n">
        <v>0.001948659427766951</v>
      </c>
      <c r="E48" s="14" t="n">
        <v>0.003099700670804254</v>
      </c>
      <c r="F48" s="14" t="n">
        <v>0.002041520037930537</v>
      </c>
      <c r="G48" s="14" t="n">
        <v>0.001692073211550284</v>
      </c>
      <c r="H48" s="14" t="n">
        <v>0.003661108849706704</v>
      </c>
      <c r="I48" s="14" t="n">
        <v>0.00202143676045821</v>
      </c>
      <c r="J48" s="14" t="n">
        <v>0.001260981868378426</v>
      </c>
      <c r="K48" s="15">
        <f>AVERAGE(B48:J48)</f>
        <v/>
      </c>
      <c r="L48" s="15">
        <f>MIN(B48:J48)</f>
        <v/>
      </c>
      <c r="M48" s="15">
        <f>MAX(B48:J48)</f>
        <v/>
      </c>
      <c r="N48" s="14" t="n">
        <v>0.0022789603</v>
      </c>
      <c r="O48" s="15">
        <f>K48-N48</f>
        <v/>
      </c>
      <c r="P48" s="5">
        <f>IF(ABS(O48)&lt;0.0000005,"cocok","periksa")</f>
        <v/>
      </c>
    </row>
    <row r="49">
      <c r="A49" s="4" t="inlineStr">
        <is>
          <t>Hybrid alpha 0,2</t>
        </is>
      </c>
      <c r="B49" s="14" t="n">
        <v>0.001212454800657076</v>
      </c>
      <c r="C49" s="14" t="n">
        <v>0.001021432669493508</v>
      </c>
      <c r="D49" s="14" t="n">
        <v>0.0008317631989143272</v>
      </c>
      <c r="E49" s="14" t="n">
        <v>0.001069031303781943</v>
      </c>
      <c r="F49" s="14" t="n">
        <v>0.001280876781486119</v>
      </c>
      <c r="G49" s="14" t="n">
        <v>0.0007841062350866272</v>
      </c>
      <c r="H49" s="14" t="n">
        <v>0.0006263788264169653</v>
      </c>
      <c r="I49" s="14" t="n">
        <v>0.001416523049126209</v>
      </c>
      <c r="J49" s="14" t="n">
        <v>0.000417167479524459</v>
      </c>
      <c r="K49" s="15">
        <f>AVERAGE(B49:J49)</f>
        <v/>
      </c>
      <c r="L49" s="15">
        <f>MIN(B49:J49)</f>
        <v/>
      </c>
      <c r="M49" s="15">
        <f>MAX(B49:J49)</f>
        <v/>
      </c>
      <c r="N49" s="14" t="n">
        <v>0.0009621927</v>
      </c>
      <c r="O49" s="15">
        <f>K49-N49</f>
        <v/>
      </c>
      <c r="P49" s="5">
        <f>IF(ABS(O49)&lt;0.0000005,"cocok","periksa")</f>
        <v/>
      </c>
    </row>
    <row r="50">
      <c r="A50" s="4" t="inlineStr">
        <is>
          <t>Hybrid alpha 0,4</t>
        </is>
      </c>
      <c r="B50" s="14" t="n">
        <v>0.001511223663399295</v>
      </c>
      <c r="C50" s="14" t="n">
        <v>0.0009744126305911202</v>
      </c>
      <c r="D50" s="14" t="n">
        <v>0.0009948895354905585</v>
      </c>
      <c r="E50" s="14" t="n">
        <v>0.001290673327925336</v>
      </c>
      <c r="F50" s="14" t="n">
        <v>0.001280495101989369</v>
      </c>
      <c r="G50" s="14" t="n">
        <v>0.0007483140031318</v>
      </c>
      <c r="H50" s="14" t="n">
        <v>0.000997094026835735</v>
      </c>
      <c r="I50" s="14" t="n">
        <v>0.001493483646382579</v>
      </c>
      <c r="J50" s="14" t="n">
        <v>0.0005436718602882762</v>
      </c>
      <c r="K50" s="15">
        <f>AVERAGE(B50:J50)</f>
        <v/>
      </c>
      <c r="L50" s="15">
        <f>MIN(B50:J50)</f>
        <v/>
      </c>
      <c r="M50" s="15">
        <f>MAX(B50:J50)</f>
        <v/>
      </c>
      <c r="N50" s="14" t="n">
        <v>0.0010926953</v>
      </c>
      <c r="O50" s="15">
        <f>K50-N50</f>
        <v/>
      </c>
      <c r="P50" s="5">
        <f>IF(ABS(O50)&lt;0.0000005,"cocok","periksa")</f>
        <v/>
      </c>
    </row>
    <row r="51">
      <c r="A51" s="4" t="inlineStr">
        <is>
          <t>Hybrid alpha 0,6</t>
        </is>
      </c>
      <c r="B51" s="14" t="n">
        <v>0.001632586097261729</v>
      </c>
      <c r="C51" s="14" t="n">
        <v>0.001053359999012173</v>
      </c>
      <c r="D51" s="14" t="n">
        <v>0.001139817071722443</v>
      </c>
      <c r="E51" s="14" t="n">
        <v>0.001284876226476061</v>
      </c>
      <c r="F51" s="14" t="n">
        <v>0.001197161768656036</v>
      </c>
      <c r="G51" s="14" t="n">
        <v>0.0007483140031318</v>
      </c>
      <c r="H51" s="14" t="n">
        <v>0.001112130258719793</v>
      </c>
      <c r="I51" s="14" t="n">
        <v>0.001631707995133244</v>
      </c>
      <c r="J51" s="14" t="n">
        <v>0.0007832200060149116</v>
      </c>
      <c r="K51" s="15">
        <f>AVERAGE(B51:J51)</f>
        <v/>
      </c>
      <c r="L51" s="15">
        <f>MIN(B51:J51)</f>
        <v/>
      </c>
      <c r="M51" s="15">
        <f>MAX(B51:J51)</f>
        <v/>
      </c>
      <c r="N51" s="14" t="n">
        <v>0.0011759082</v>
      </c>
      <c r="O51" s="15">
        <f>K51-N51</f>
        <v/>
      </c>
      <c r="P51" s="5">
        <f>IF(ABS(O51)&lt;0.0000005,"cocok","periksa")</f>
        <v/>
      </c>
    </row>
    <row r="52">
      <c r="A52" s="4" t="inlineStr">
        <is>
          <t>Hybrid alpha 0,8 (dilayani)</t>
        </is>
      </c>
      <c r="B52" s="14" t="n">
        <v>0.001880839306041254</v>
      </c>
      <c r="C52" s="14" t="n">
        <v>0.001188895759547933</v>
      </c>
      <c r="D52" s="14" t="n">
        <v>0.001189420246325617</v>
      </c>
      <c r="E52" s="14" t="n">
        <v>0.00160505524230725</v>
      </c>
      <c r="F52" s="14" t="n">
        <v>0.001372156975169372</v>
      </c>
      <c r="G52" s="14" t="n">
        <v>0.0008217383046262768</v>
      </c>
      <c r="H52" s="14" t="n">
        <v>0.001369492414108264</v>
      </c>
      <c r="I52" s="14" t="n">
        <v>0.001588482273366743</v>
      </c>
      <c r="J52" s="14" t="n">
        <v>0.0008295163023112078</v>
      </c>
      <c r="K52" s="15">
        <f>AVERAGE(B52:J52)</f>
        <v/>
      </c>
      <c r="L52" s="15">
        <f>MIN(B52:J52)</f>
        <v/>
      </c>
      <c r="M52" s="15">
        <f>MAX(B52:J52)</f>
        <v/>
      </c>
      <c r="N52" s="14" t="n">
        <v>0.0013161774</v>
      </c>
      <c r="O52" s="15">
        <f>K52-N52</f>
        <v/>
      </c>
      <c r="P52" s="5">
        <f>IF(ABS(O52)&lt;0.0000005,"cocok","periksa")</f>
        <v/>
      </c>
    </row>
    <row r="54">
      <c r="A54" s="13" t="inlineStr">
        <is>
          <t>F1@10</t>
        </is>
      </c>
    </row>
    <row r="55" ht="18" customHeight="1">
      <c r="A55" s="3" t="inlineStr">
        <is>
          <t>Sistem</t>
        </is>
      </c>
      <c r="B55" s="3" t="inlineStr">
        <is>
          <t>titik 1</t>
        </is>
      </c>
      <c r="C55" s="3" t="inlineStr">
        <is>
          <t>titik 2</t>
        </is>
      </c>
      <c r="D55" s="3" t="inlineStr">
        <is>
          <t>titik 3</t>
        </is>
      </c>
      <c r="E55" s="3" t="inlineStr">
        <is>
          <t>titik 4</t>
        </is>
      </c>
      <c r="F55" s="3" t="inlineStr">
        <is>
          <t>titik 5</t>
        </is>
      </c>
      <c r="G55" s="3" t="inlineStr">
        <is>
          <t>titik 6</t>
        </is>
      </c>
      <c r="H55" s="3" t="inlineStr">
        <is>
          <t>titik 7</t>
        </is>
      </c>
      <c r="I55" s="3" t="inlineStr">
        <is>
          <t>titik 8</t>
        </is>
      </c>
      <c r="J55" s="3" t="inlineStr">
        <is>
          <t>titik 9</t>
        </is>
      </c>
      <c r="K55" s="3" t="inlineStr">
        <is>
          <t>Rata-rata</t>
        </is>
      </c>
      <c r="L55" s="3" t="inlineStr">
        <is>
          <t>Min</t>
        </is>
      </c>
      <c r="M55" s="3" t="inlineStr">
        <is>
          <t>Maks</t>
        </is>
      </c>
      <c r="N55" s="3" t="inlineStr">
        <is>
          <t>Dilaporkan</t>
        </is>
      </c>
      <c r="O55" s="3" t="inlineStr">
        <is>
          <t>Selisih</t>
        </is>
      </c>
      <c r="P55" s="3" t="inlineStr">
        <is>
          <t>Cocok?</t>
        </is>
      </c>
    </row>
    <row r="56">
      <c r="A56" s="4" t="inlineStr">
        <is>
          <t>Popularity</t>
        </is>
      </c>
      <c r="B56" s="14" t="n">
        <v>0.008706259759838337</v>
      </c>
      <c r="C56" s="14" t="n">
        <v>0.004541224023537669</v>
      </c>
      <c r="D56" s="14" t="n">
        <v>0.003122083174097016</v>
      </c>
      <c r="E56" s="14" t="n">
        <v>0.00751029896692217</v>
      </c>
      <c r="F56" s="14" t="n">
        <v>0.006053899985597397</v>
      </c>
      <c r="G56" s="14" t="n">
        <v>0.005438855775014126</v>
      </c>
      <c r="H56" s="14" t="n">
        <v>0.008793504912166903</v>
      </c>
      <c r="I56" s="14" t="n">
        <v>0.004510753814933256</v>
      </c>
      <c r="J56" s="14" t="n">
        <v>0.003759541140045607</v>
      </c>
      <c r="K56" s="15">
        <f>AVERAGE(B56:J56)</f>
        <v/>
      </c>
      <c r="L56" s="15">
        <f>MIN(B56:J56)</f>
        <v/>
      </c>
      <c r="M56" s="15">
        <f>MAX(B56:J56)</f>
        <v/>
      </c>
      <c r="N56" s="14" t="n">
        <v>0.0058262691</v>
      </c>
      <c r="O56" s="15">
        <f>K56-N56</f>
        <v/>
      </c>
      <c r="P56" s="5">
        <f>IF(ABS(O56)&lt;0.0000005,"cocok","periksa")</f>
        <v/>
      </c>
    </row>
    <row r="57">
      <c r="A57" s="4" t="inlineStr">
        <is>
          <t>CBF (TF-IDF)</t>
        </is>
      </c>
      <c r="B57" s="14" t="n">
        <v>0.0007835281693408231</v>
      </c>
      <c r="C57" s="14" t="n">
        <v>0.0009582717841103331</v>
      </c>
      <c r="D57" s="14" t="n">
        <v>0.0006200222443416636</v>
      </c>
      <c r="E57" s="14" t="n">
        <v>0.000708454951640748</v>
      </c>
      <c r="F57" s="14" t="n">
        <v>0.0008396180169435983</v>
      </c>
      <c r="G57" s="14" t="n">
        <v>0.0005432748538011697</v>
      </c>
      <c r="H57" s="14" t="n">
        <v>0.0003550748249205472</v>
      </c>
      <c r="I57" s="14" t="n">
        <v>0.0005846695609626643</v>
      </c>
      <c r="J57" s="14" t="n">
        <v>0.0006192528595650928</v>
      </c>
      <c r="K57" s="15">
        <f>AVERAGE(B57:J57)</f>
        <v/>
      </c>
      <c r="L57" s="15">
        <f>MIN(B57:J57)</f>
        <v/>
      </c>
      <c r="M57" s="15">
        <f>MAX(B57:J57)</f>
        <v/>
      </c>
      <c r="N57" s="14" t="n">
        <v>0.0006680186</v>
      </c>
      <c r="O57" s="15">
        <f>K57-N57</f>
        <v/>
      </c>
      <c r="P57" s="5">
        <f>IF(ABS(O57)&lt;0.0000005,"cocok","periksa")</f>
        <v/>
      </c>
    </row>
    <row r="58">
      <c r="A58" s="4" t="inlineStr">
        <is>
          <t>ALS (CF)</t>
        </is>
      </c>
      <c r="B58" s="14" t="n">
        <v>0.003885269215273189</v>
      </c>
      <c r="C58" s="14" t="n">
        <v>0.002658738801766692</v>
      </c>
      <c r="D58" s="14" t="n">
        <v>0.002553140777566646</v>
      </c>
      <c r="E58" s="14" t="n">
        <v>0.004355065685579849</v>
      </c>
      <c r="F58" s="14" t="n">
        <v>0.00281053295150517</v>
      </c>
      <c r="G58" s="14" t="n">
        <v>0.002207241951788266</v>
      </c>
      <c r="H58" s="14" t="n">
        <v>0.004936433918228817</v>
      </c>
      <c r="I58" s="14" t="n">
        <v>0.002791434730050208</v>
      </c>
      <c r="J58" s="14" t="n">
        <v>0.001691971479188976</v>
      </c>
      <c r="K58" s="15">
        <f>AVERAGE(B58:J58)</f>
        <v/>
      </c>
      <c r="L58" s="15">
        <f>MIN(B58:J58)</f>
        <v/>
      </c>
      <c r="M58" s="15">
        <f>MAX(B58:J58)</f>
        <v/>
      </c>
      <c r="N58" s="14" t="n">
        <v>0.0030988699</v>
      </c>
      <c r="O58" s="15">
        <f>K58-N58</f>
        <v/>
      </c>
      <c r="P58" s="5">
        <f>IF(ABS(O58)&lt;0.0000005,"cocok","periksa")</f>
        <v/>
      </c>
    </row>
    <row r="59">
      <c r="A59" s="4" t="inlineStr">
        <is>
          <t>Hybrid alpha 0,2</t>
        </is>
      </c>
      <c r="B59" s="14" t="n">
        <v>0.001740215475382505</v>
      </c>
      <c r="C59" s="14" t="n">
        <v>0.001337097219133733</v>
      </c>
      <c r="D59" s="14" t="n">
        <v>0.001110918602885081</v>
      </c>
      <c r="E59" s="14" t="n">
        <v>0.001450166172518636</v>
      </c>
      <c r="F59" s="14" t="n">
        <v>0.001775971012547909</v>
      </c>
      <c r="G59" s="14" t="n">
        <v>0.001039157329649545</v>
      </c>
      <c r="H59" s="14" t="n">
        <v>0.0008751694467949245</v>
      </c>
      <c r="I59" s="14" t="n">
        <v>0.00188517343108606</v>
      </c>
      <c r="J59" s="14" t="n">
        <v>0.0005818884074523696</v>
      </c>
      <c r="K59" s="15">
        <f>AVERAGE(B59:J59)</f>
        <v/>
      </c>
      <c r="L59" s="15">
        <f>MIN(B59:J59)</f>
        <v/>
      </c>
      <c r="M59" s="15">
        <f>MAX(B59:J59)</f>
        <v/>
      </c>
      <c r="N59" s="14" t="n">
        <v>0.0013106397</v>
      </c>
      <c r="O59" s="15">
        <f>K59-N59</f>
        <v/>
      </c>
      <c r="P59" s="5">
        <f>IF(ABS(O59)&lt;0.0000005,"cocok","periksa")</f>
        <v/>
      </c>
    </row>
    <row r="60">
      <c r="A60" s="4" t="inlineStr">
        <is>
          <t>Hybrid alpha 0,4</t>
        </is>
      </c>
      <c r="B60" s="14" t="n">
        <v>0.002203001509300194</v>
      </c>
      <c r="C60" s="14" t="n">
        <v>0.001346213358686351</v>
      </c>
      <c r="D60" s="14" t="n">
        <v>0.001328299959275175</v>
      </c>
      <c r="E60" s="14" t="n">
        <v>0.0018015776546895</v>
      </c>
      <c r="F60" s="14" t="n">
        <v>0.001844031485612046</v>
      </c>
      <c r="G60" s="14" t="n">
        <v>0.001042847491118905</v>
      </c>
      <c r="H60" s="14" t="n">
        <v>0.001348508510688711</v>
      </c>
      <c r="I60" s="14" t="n">
        <v>0.001986539436306021</v>
      </c>
      <c r="J60" s="14" t="n">
        <v>0.0007594431499501204</v>
      </c>
      <c r="K60" s="15">
        <f>AVERAGE(B60:J60)</f>
        <v/>
      </c>
      <c r="L60" s="15">
        <f>MIN(B60:J60)</f>
        <v/>
      </c>
      <c r="M60" s="15">
        <f>MAX(B60:J60)</f>
        <v/>
      </c>
      <c r="N60" s="14" t="n">
        <v>0.0015178292</v>
      </c>
      <c r="O60" s="15">
        <f>K60-N60</f>
        <v/>
      </c>
      <c r="P60" s="5">
        <f>IF(ABS(O60)&lt;0.0000005,"cocok","periksa")</f>
        <v/>
      </c>
    </row>
    <row r="61">
      <c r="A61" s="4" t="inlineStr">
        <is>
          <t>Hybrid alpha 0,6</t>
        </is>
      </c>
      <c r="B61" s="14" t="n">
        <v>0.002347113339744791</v>
      </c>
      <c r="C61" s="14" t="n">
        <v>0.001447937496617386</v>
      </c>
      <c r="D61" s="14" t="n">
        <v>0.001530320161295378</v>
      </c>
      <c r="E61" s="14" t="n">
        <v>0.001795805648917495</v>
      </c>
      <c r="F61" s="14" t="n">
        <v>0.001732920374500935</v>
      </c>
      <c r="G61" s="14" t="n">
        <v>0.001042847491118905</v>
      </c>
      <c r="H61" s="14" t="n">
        <v>0.001486814648994849</v>
      </c>
      <c r="I61" s="14" t="n">
        <v>0.002179001344886614</v>
      </c>
      <c r="J61" s="14" t="n">
        <v>0.001082922661416284</v>
      </c>
      <c r="K61" s="15">
        <f>AVERAGE(B61:J61)</f>
        <v/>
      </c>
      <c r="L61" s="15">
        <f>MIN(B61:J61)</f>
        <v/>
      </c>
      <c r="M61" s="15">
        <f>MAX(B61:J61)</f>
        <v/>
      </c>
      <c r="N61" s="14" t="n">
        <v>0.0016272981</v>
      </c>
      <c r="O61" s="15">
        <f>K61-N61</f>
        <v/>
      </c>
      <c r="P61" s="5">
        <f>IF(ABS(O61)&lt;0.0000005,"cocok","periksa")</f>
        <v/>
      </c>
    </row>
    <row r="62">
      <c r="A62" s="4" t="inlineStr">
        <is>
          <t>Hybrid alpha 0,8 (dilayani)</t>
        </is>
      </c>
      <c r="B62" s="14" t="n">
        <v>0.00270481392641596</v>
      </c>
      <c r="C62" s="14" t="n">
        <v>0.001612612237481473</v>
      </c>
      <c r="D62" s="14" t="n">
        <v>0.001607719542100331</v>
      </c>
      <c r="E62" s="14" t="n">
        <v>0.002227556917362311</v>
      </c>
      <c r="F62" s="14" t="n">
        <v>0.001987381360669238</v>
      </c>
      <c r="G62" s="14" t="n">
        <v>0.001146826470097884</v>
      </c>
      <c r="H62" s="14" t="n">
        <v>0.001782594082760935</v>
      </c>
      <c r="I62" s="14" t="n">
        <v>0.002103757399978116</v>
      </c>
      <c r="J62" s="14" t="n">
        <v>0.001155386429532226</v>
      </c>
      <c r="K62" s="15">
        <f>AVERAGE(B62:J62)</f>
        <v/>
      </c>
      <c r="L62" s="15">
        <f>MIN(B62:J62)</f>
        <v/>
      </c>
      <c r="M62" s="15">
        <f>MAX(B62:J62)</f>
        <v/>
      </c>
      <c r="N62" s="14" t="n">
        <v>0.0018142943</v>
      </c>
      <c r="O62" s="15">
        <f>K62-N62</f>
        <v/>
      </c>
      <c r="P62" s="5">
        <f>IF(ABS(O62)&lt;0.0000005,"cocok","periksa")</f>
        <v/>
      </c>
    </row>
    <row r="65">
      <c r="A65" s="16" t="inlineStr">
        <is>
          <t>Catatan: alpha pemenang = 0,8 (rata-rata NDCG@10 tertinggi pada grid 0,2-0,8). Angka inilah yang dilayani web. Workbook ini tidak mengubah satu pun nilai terkunci.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2026-10-29T03:54:02Z</dcterms:created>
  <dcterms:modified xsi:type="dcterms:W3CDTF">2026-10-29T03:54:02Z</dcterms:modified>
</cp:coreProperties>
</file>